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 del Director-ADN\Proyecto Estrategia de Datos-ADN-Bloomberg\"/>
    </mc:Choice>
  </mc:AlternateContent>
  <xr:revisionPtr revIDLastSave="0" documentId="13_ncr:1_{7C7BC7BF-5C6A-48EC-967E-28547DF022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r-Reportadas" sheetId="1" r:id="rId1"/>
    <sheet name="Pendientes " sheetId="2" r:id="rId2"/>
    <sheet name="Hoja3" sheetId="3" r:id="rId3"/>
  </sheets>
  <definedNames>
    <definedName name="_xlnm._FilterDatabase" localSheetId="0" hidden="1">'Dir-Reportadas'!$A$7:$O$115</definedName>
    <definedName name="_xlnm.Print_Titles" localSheetId="0">'Dir-Reportadas'!$1:$7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2" l="1"/>
  <c r="E36" i="2"/>
  <c r="C21" i="2"/>
  <c r="D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Robinson Morel Santiago</author>
  </authors>
  <commentList>
    <comment ref="D7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H7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0" shapeId="0" xr:uid="{00000000-0006-0000-0000-000007000000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0" shapeId="0" xr:uid="{00000000-0006-0000-0000-000009000000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0" shapeId="0" xr:uid="{00000000-0006-0000-0000-00000A000000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<sst xmlns="http://schemas.openxmlformats.org/spreadsheetml/2006/main" count="1416" uniqueCount="381">
  <si>
    <t>Ayuntamiento del Distrito Nacional</t>
  </si>
  <si>
    <t>República Dominicana</t>
  </si>
  <si>
    <t>DIRECCION DE TECNOLOGIA DE LA INFORMACION</t>
  </si>
  <si>
    <t>Conjunto de Datos que dispone la ciudad de SD</t>
  </si>
  <si>
    <t>Item</t>
  </si>
  <si>
    <t>Nombre de la Base de Datos o Listados de Datos</t>
  </si>
  <si>
    <t>Descripcion del Dato</t>
  </si>
  <si>
    <t>Propietario / Origen</t>
  </si>
  <si>
    <t>Direccion Responsable</t>
  </si>
  <si>
    <t>Contacto Responsable</t>
  </si>
  <si>
    <t xml:space="preserve">Frecuencia actualizacion </t>
  </si>
  <si>
    <t>Data Publica / Privada</t>
  </si>
  <si>
    <t>Nivel de Calidad de la Data</t>
  </si>
  <si>
    <t>Fuente I/E</t>
  </si>
  <si>
    <t>Actualizado / Fecha</t>
  </si>
  <si>
    <t>Enlace/Link</t>
  </si>
  <si>
    <t>Formato Origen</t>
  </si>
  <si>
    <t>Formato Publicación</t>
  </si>
  <si>
    <t>Tipo de datos</t>
  </si>
  <si>
    <t>Matriz de informes de Auditoria</t>
  </si>
  <si>
    <t>Relacion del status de los informes de auditorias en procesos</t>
  </si>
  <si>
    <t>ADN</t>
  </si>
  <si>
    <t>Auditoria Interna</t>
  </si>
  <si>
    <t>Pablo Rosario</t>
  </si>
  <si>
    <t>Semanal</t>
  </si>
  <si>
    <t>Privada</t>
  </si>
  <si>
    <t>desagregada</t>
  </si>
  <si>
    <t>Excel</t>
  </si>
  <si>
    <t>N/A</t>
  </si>
  <si>
    <t>Cerrado</t>
  </si>
  <si>
    <t xml:space="preserve">Padron del Ciudadano </t>
  </si>
  <si>
    <t>Listado de ciudadanos mayor de Edad Registrado en el DN</t>
  </si>
  <si>
    <t>JCE</t>
  </si>
  <si>
    <t>Direccion de TI</t>
  </si>
  <si>
    <t>Neftali Rosario</t>
  </si>
  <si>
    <t>Anual</t>
  </si>
  <si>
    <t>Publica</t>
  </si>
  <si>
    <t>Normalizada</t>
  </si>
  <si>
    <t>Externa</t>
  </si>
  <si>
    <t>Abierta</t>
  </si>
  <si>
    <t>Estudio de Pluviometria del Gran Santo Domingo</t>
  </si>
  <si>
    <t>Reporte de Pluviometria por zona del DN</t>
  </si>
  <si>
    <t>??</t>
  </si>
  <si>
    <t>Jose Alfredo Guerrero</t>
  </si>
  <si>
    <t>Mensual</t>
  </si>
  <si>
    <t>Publico</t>
  </si>
  <si>
    <t>Patron RNC</t>
  </si>
  <si>
    <t>Listado de empresas registradas en DGII</t>
  </si>
  <si>
    <t>DGII</t>
  </si>
  <si>
    <t>Semestral</t>
  </si>
  <si>
    <t>Cerrada</t>
  </si>
  <si>
    <t>Clasificado Objetal del Gasto</t>
  </si>
  <si>
    <t>Listado de las cuentas del presupuesto Municipal</t>
  </si>
  <si>
    <t>DIGEPRES</t>
  </si>
  <si>
    <t>Confidencial</t>
  </si>
  <si>
    <t>Interna</t>
  </si>
  <si>
    <t>Inventario de Inmuebles del ADN</t>
  </si>
  <si>
    <t>Listado de Inmuebles y propiedades del ADN</t>
  </si>
  <si>
    <t>Listados de Parques / Plazas del DN</t>
  </si>
  <si>
    <t>Listado de Plazas y Parques del ADN / Circunscripcion</t>
  </si>
  <si>
    <t>Desagregada</t>
  </si>
  <si>
    <t>Listado de Imbornales del DN</t>
  </si>
  <si>
    <t>Listado de mantenimientos de Imbornales trabajos</t>
  </si>
  <si>
    <t xml:space="preserve">Mantenimiento de Obras Comunitarias </t>
  </si>
  <si>
    <t xml:space="preserve">Eury Concepcion </t>
  </si>
  <si>
    <t>PDF</t>
  </si>
  <si>
    <t>Listado de Obras del PPM</t>
  </si>
  <si>
    <t>Informe de los trabajos operativos de DMOC</t>
  </si>
  <si>
    <t>Listado de Obras y Mantenimiento Vial</t>
  </si>
  <si>
    <t>Diaria</t>
  </si>
  <si>
    <t xml:space="preserve">Listado de Tapas y Parrillas de Imbornales </t>
  </si>
  <si>
    <t>Listado de mantenimientos deTapas y Parrillas de Imbornales</t>
  </si>
  <si>
    <t>Matriz de procedimientos del ADN</t>
  </si>
  <si>
    <t>Listado de los procedimientos existentes del ADN</t>
  </si>
  <si>
    <t xml:space="preserve">Gestion de Calidad </t>
  </si>
  <si>
    <t>Carolyne Taveras</t>
  </si>
  <si>
    <t>Desagregado</t>
  </si>
  <si>
    <t xml:space="preserve">Presupuesto </t>
  </si>
  <si>
    <t>Presupuesto aprobado de la Alcaldía del Distrito Nacional</t>
  </si>
  <si>
    <t>Dirección de Planificación y Desarrollo Institucional</t>
  </si>
  <si>
    <t>Alexia Infante</t>
  </si>
  <si>
    <t>Pública</t>
  </si>
  <si>
    <t>https://adn.gob.do/transparencia/presupuesto-aprobado/</t>
  </si>
  <si>
    <t>Abierto</t>
  </si>
  <si>
    <t>Ejecución Presupuestaria</t>
  </si>
  <si>
    <t>Ejecución Presupuestaria Publicada</t>
  </si>
  <si>
    <t>Trimestral</t>
  </si>
  <si>
    <t>https://adn.gob.do/transparencia/ejecucion-presupuestaria/</t>
  </si>
  <si>
    <t>PIM (Plan de Inversión Municipal)</t>
  </si>
  <si>
    <t>Plan de Inversión Municipal - Presupuesto Participativo Municipal</t>
  </si>
  <si>
    <t>Anual y seguimiento Trimestral</t>
  </si>
  <si>
    <t>https://adn.gob.do/transparencia/planificacion-y-desarrollo/#108-1674-wpfd-2024-presupuesto-participativo</t>
  </si>
  <si>
    <t>POA (Plan Operativo Anual)</t>
  </si>
  <si>
    <t>Plan Operativo Anual</t>
  </si>
  <si>
    <t>https://adn.gob.do/transparencia/planificacion-y-desarrollo/#108-111-wpfd-plan-operativo-annual</t>
  </si>
  <si>
    <t>Disponible</t>
  </si>
  <si>
    <t>Listado de Solicitudes de No Objecion</t>
  </si>
  <si>
    <t>Tramites recibidos, evaluados y concluidos.</t>
  </si>
  <si>
    <t>Direccion de  Planeamiento Urbano</t>
  </si>
  <si>
    <t>Claudia Mendez</t>
  </si>
  <si>
    <t>Listado de Ordenanzas Municipales Vigentes</t>
  </si>
  <si>
    <t>Listado de Ordenanzas que se mantienen vigentes y con aplicación en el Distrito Nacional</t>
  </si>
  <si>
    <t>Direccion de Planeamineto Urbano</t>
  </si>
  <si>
    <t>Bianca Carrion</t>
  </si>
  <si>
    <t>Listado de Ordenanzas Vencidas</t>
  </si>
  <si>
    <t>Listado de Ordenanzas que han sido derogadas y/o se encuentran vencidas por fecha de revision/ caducadas.</t>
  </si>
  <si>
    <t>Listado de Estudios/ Planes Urbanos realizados por el ADN</t>
  </si>
  <si>
    <t xml:space="preserve">Inventario de todos los estudios urbanos realizados, a distintas escalas en el Distrito Nacional. </t>
  </si>
  <si>
    <t>Matriz de Planes Parciales</t>
  </si>
  <si>
    <t xml:space="preserve">Matriz de Planes Parciales para territorios que asi lo requieran. </t>
  </si>
  <si>
    <t>Listado de Guias e Instructivos para el Contribuyente en Planeamiento Urbano</t>
  </si>
  <si>
    <t>Listado de guias e instructivos diseñados para que los municipes puedan realizar los tramites y procesos que los mismos requieran en la Direccion de Planeamiento Urbano.</t>
  </si>
  <si>
    <t>Listado de Denuncias y Sometimientos al Tribunal Municipal</t>
  </si>
  <si>
    <t>Listado de Denuncias registradas, internas y externas de proyectos ejecutados sin las No Objeciones correspondientes.</t>
  </si>
  <si>
    <t>Dersy Contreras</t>
  </si>
  <si>
    <t>Listado de Inspecciones por Denuncias</t>
  </si>
  <si>
    <t>Listado de Inspecciones realizadas en virtud de las Denuncias registradas, internas y externas de proyectos ejecutados sin las No Objeciones correspondientes.</t>
  </si>
  <si>
    <t>Rosanna Romero</t>
  </si>
  <si>
    <t>Listado de Inspecciones por Tramites</t>
  </si>
  <si>
    <t>Listado de Inspecciones realizadas en virtud de las solicitudes registradas de No Objeciones.</t>
  </si>
  <si>
    <t xml:space="preserve">Listado de Acuerdos Transaccionales </t>
  </si>
  <si>
    <t>Listado de denuncias resueltas via acuerdos transaccionales</t>
  </si>
  <si>
    <t>Reporte de Recaudaciones</t>
  </si>
  <si>
    <t>Reporte de los ingresos recaudados por pago de arbitrios concepto de las No Objeciones / Penalidades .</t>
  </si>
  <si>
    <t>Marcos Perrota</t>
  </si>
  <si>
    <t>Padron de Arquitectos CODIA</t>
  </si>
  <si>
    <t>Listado de Arquitectos Habilitados con Exequatur para tramitar planos.</t>
  </si>
  <si>
    <t>CODIA</t>
  </si>
  <si>
    <t>Lucirys Mateo</t>
  </si>
  <si>
    <t>Registro del D.N. Estatus Juridico de Inmuebles</t>
  </si>
  <si>
    <t>Listado de los estatus Juridico de los Inmuebles del Distrito Nacional</t>
  </si>
  <si>
    <t>Registro de Titulos</t>
  </si>
  <si>
    <t>Registro de Propiedades afectadas/ protegidas por la ley no. 64-00 de Medio Ambiente y Recursos Naturales en el D.N.</t>
  </si>
  <si>
    <t xml:space="preserve">Listado geolocalizado de zonas protegidas en el Distrito Nacional. </t>
  </si>
  <si>
    <t>MIMARENA</t>
  </si>
  <si>
    <t>Unica</t>
  </si>
  <si>
    <t>Registro Hidrosanitario del Disrtrito Nacional</t>
  </si>
  <si>
    <t>Registro de Infraesctructura de agua potable, drenaje pluvial y alcantarillado del Distrito Nacional.</t>
  </si>
  <si>
    <t>CAASD</t>
  </si>
  <si>
    <t>Registro de Red de Distribucion Electrica del Distrito Nacional</t>
  </si>
  <si>
    <t>Registro de Capacidades de la Red de Distribucion Electrica por barrios del Distrito Nacional.</t>
  </si>
  <si>
    <t>EDES</t>
  </si>
  <si>
    <t>Registro de Mensura Catastral por Lote del Distrito Nacional</t>
  </si>
  <si>
    <t>Registro de Mensuras Catastrales actualizadas y georeferenciadas del Distrito Nacional.</t>
  </si>
  <si>
    <t>Direccion Nacional de Mensura Catastral</t>
  </si>
  <si>
    <t>Padron de Asociados ACOPROVI</t>
  </si>
  <si>
    <t>Listado de Ingenieros, Arquitectos y corredores de bienes raices asociados de ACOPROVI.</t>
  </si>
  <si>
    <t>ACOPROVI</t>
  </si>
  <si>
    <t>Censo Poblacional por barrio del Distrito Nacional</t>
  </si>
  <si>
    <t>Data poblacional desagregada por barrios del Distrito Nacional.</t>
  </si>
  <si>
    <t>ONE</t>
  </si>
  <si>
    <t xml:space="preserve">Registro de Zonas Inundables del Distrito Nacional </t>
  </si>
  <si>
    <t xml:space="preserve">Listado geolocalizado de zonas inundables en el Distrito Nacional. </t>
  </si>
  <si>
    <t>COE</t>
  </si>
  <si>
    <t>Registro de Licencias de Construccion Erogadas en el D.N.</t>
  </si>
  <si>
    <t>Listado de Licencias de construccion erogadas en el Distrito Nacional.</t>
  </si>
  <si>
    <t>MIVED</t>
  </si>
  <si>
    <t>Listado de Barrios y Sub Barrios del Distrito Nacional</t>
  </si>
  <si>
    <t>Listado de sub division barrial del Distrito Nacional.</t>
  </si>
  <si>
    <t xml:space="preserve">https://www.one.gob.do/media/s5gdl00n/divisi%C3%B3n-territorial-2020-t.pdf </t>
  </si>
  <si>
    <t>Listado de autorizaciones ambientales para la construccion de proyectos en el D.N.</t>
  </si>
  <si>
    <t>Memoria Institucional ADN</t>
  </si>
  <si>
    <t>https://adn.gob.do/transparencia/planificacion-y-desarrollo/#108-1584-wpfd-memorias-institucionales-2024-publicaciones-oficiales</t>
  </si>
  <si>
    <t>Registro de Organizaciones Sociales DN Miembros del CESM</t>
  </si>
  <si>
    <t>Sina Del Rosario C.</t>
  </si>
  <si>
    <t>https://www.sismap.gob.do/Municipal/uploads/evidencias/638646760554999607-2.01_02-14_Registro-de-organizaciones-sociales-ayunt.-DN.pdf</t>
  </si>
  <si>
    <t>Resumen de sesiones CESM 2020-2024 Y 2024-2028</t>
  </si>
  <si>
    <t>Consejo Económico Social Municipal 2024-2028</t>
  </si>
  <si>
    <t>Secretaría Técnica</t>
  </si>
  <si>
    <t xml:space="preserve">Alumbrado Público </t>
  </si>
  <si>
    <t>Listado luminarias instaladas/reparadas en el Distrito Nacional</t>
  </si>
  <si>
    <t xml:space="preserve">Infraestructura Urbana </t>
  </si>
  <si>
    <t>Carlos Suero</t>
  </si>
  <si>
    <t xml:space="preserve">Ejecución de Obras </t>
  </si>
  <si>
    <t>Intervención de aceras y contenes en el Distrito Nacional</t>
  </si>
  <si>
    <t xml:space="preserve">Emmanuel López </t>
  </si>
  <si>
    <t xml:space="preserve">Embellecimiento Público </t>
  </si>
  <si>
    <t>Mantenimiento en cementerios, funerarias, etc del D.N</t>
  </si>
  <si>
    <t>Jeymy Ortega</t>
  </si>
  <si>
    <t xml:space="preserve">Direccion de Inmobiliaria </t>
  </si>
  <si>
    <t xml:space="preserve">Direccion de Proyectos especiales </t>
  </si>
  <si>
    <t>Inventarios de Datos Consolidado del ADN</t>
  </si>
  <si>
    <t>a la Fecha :====&gt;</t>
  </si>
  <si>
    <t>Nómina Empleados Fijos Electronica</t>
  </si>
  <si>
    <t>Relacion de empleados fijos electronica</t>
  </si>
  <si>
    <t xml:space="preserve">ADN </t>
  </si>
  <si>
    <t>Gestión Humana</t>
  </si>
  <si>
    <t>Maria Sanchez</t>
  </si>
  <si>
    <t>https://adn.gob.do/transparencia/nomina/</t>
  </si>
  <si>
    <t>Nómina Empleados Fijos Cheque</t>
  </si>
  <si>
    <t>Relacion de empleados fijos cheque</t>
  </si>
  <si>
    <t>Nómina Regalia Empleados Fijos Electronica</t>
  </si>
  <si>
    <t>Relacion de regalia empleados fijos electronica</t>
  </si>
  <si>
    <t>Nómina Regalia Empleados Fijos Cheque</t>
  </si>
  <si>
    <t>Relacion de regalia empleados fijos cheque</t>
  </si>
  <si>
    <t>Nómina Personal Salvaguarda Electronica</t>
  </si>
  <si>
    <t>Relacion de Personal Salvaguarda Electronica</t>
  </si>
  <si>
    <t>Nómina Personal Salvaguarda Cheque</t>
  </si>
  <si>
    <t>Relacion de Personal Salvaguarda Cheque</t>
  </si>
  <si>
    <t>Nómina Regalia Personal Salvaguarda Electronica</t>
  </si>
  <si>
    <t>Relacion de regalia Personal Salvaguarda Electronica</t>
  </si>
  <si>
    <t>Nómina Regalia Personal Salvaguarda Cheque</t>
  </si>
  <si>
    <t>Relacion de regalia Personal Salvaguarda Cheque</t>
  </si>
  <si>
    <t xml:space="preserve">Nómina  Pensionados </t>
  </si>
  <si>
    <t>Relacion de Pensionados</t>
  </si>
  <si>
    <t>Nómina Regalia Pensionados Electronica</t>
  </si>
  <si>
    <t xml:space="preserve">Relacion de regalia Pensionados </t>
  </si>
  <si>
    <t>Nómina Concejales  Electronica</t>
  </si>
  <si>
    <t>Relacion Concejales  Electronica</t>
  </si>
  <si>
    <t>Nómina Concejales  cheque</t>
  </si>
  <si>
    <t>Relacion Concejales  cheque</t>
  </si>
  <si>
    <t>Nómina Regalia Concejales</t>
  </si>
  <si>
    <t>Relacion de regalia Concejales</t>
  </si>
  <si>
    <t>Escala Salarial</t>
  </si>
  <si>
    <t>Realción que establece los rangos de salarios para cada puesto de trabajo</t>
  </si>
  <si>
    <t>Nomina PNUD</t>
  </si>
  <si>
    <t>Relacion de Personal PNUD</t>
  </si>
  <si>
    <t>Nomina Regalia PNUD</t>
  </si>
  <si>
    <t>Relacion de regalia Personal PNUD</t>
  </si>
  <si>
    <t>Capacitaciones impartidas conforme al plan de capaciatacion anual</t>
  </si>
  <si>
    <t>Glenys Tejada</t>
  </si>
  <si>
    <t>Personal Capacitado</t>
  </si>
  <si>
    <t>Reporte de colaboradores capacitados</t>
  </si>
  <si>
    <t>Personal Capacitado por genero</t>
  </si>
  <si>
    <t>Reporte de colaboradores capacitados genero</t>
  </si>
  <si>
    <t>Personal Evaluados por Desempeño</t>
  </si>
  <si>
    <t>Reporte de colaboradores evaluados</t>
  </si>
  <si>
    <t>Personal Capacitado en Induccion Institucional</t>
  </si>
  <si>
    <t>Reporte de colaboradores capacitados en Induccion Institucional</t>
  </si>
  <si>
    <t>Colaboradores en Licencia Medica</t>
  </si>
  <si>
    <t>Reporte de colaboradores en Licencia Medica</t>
  </si>
  <si>
    <t>Constanza Morales</t>
  </si>
  <si>
    <t>Colaboradoras en Licencia Medica Pre-Post Natal</t>
  </si>
  <si>
    <t>Reporte de colaboradoras en Licencia Medica Pre-Post Natal</t>
  </si>
  <si>
    <t>Registros de Maternidad de Colaboradoras</t>
  </si>
  <si>
    <t>Reporte de Registros de Maternidad de Colaboradoras</t>
  </si>
  <si>
    <t>Personal No Apto para Trabajo Productivo</t>
  </si>
  <si>
    <t>Reporte de Personal No Apto para Trabajo Productivo</t>
  </si>
  <si>
    <t>Accidentes Laborales</t>
  </si>
  <si>
    <t>Reporte de  casos de Accidentes Laborales</t>
  </si>
  <si>
    <t>Casos Prestaciones Laborales</t>
  </si>
  <si>
    <t>Relacion de casos Prestaciones Laborales</t>
  </si>
  <si>
    <t>Carherine Ozuna</t>
  </si>
  <si>
    <t>Pagos Prestaciones Laborales</t>
  </si>
  <si>
    <t>Relacion de Pagos Prestaciones Laborales</t>
  </si>
  <si>
    <t>Certificaciones Laborales</t>
  </si>
  <si>
    <t>Reporte de Certificaciones Laborales expedidas</t>
  </si>
  <si>
    <t>Estructura Organizacional</t>
  </si>
  <si>
    <t xml:space="preserve">Conjunto de relaciones organizativas de la institucion, puestos de trabajo, tareas, flujos de autoridad. </t>
  </si>
  <si>
    <t>Escarlett Caminero</t>
  </si>
  <si>
    <t>Word</t>
  </si>
  <si>
    <t>Manuales de Cargos y Funciones</t>
  </si>
  <si>
    <t xml:space="preserve">Descripciones de puesto </t>
  </si>
  <si>
    <t>Clasificacion de grupo ocupacionales según la naturaleza de sus funciones</t>
  </si>
  <si>
    <t>Cantidad de Colaboradores por sexo</t>
  </si>
  <si>
    <t>Relacion de Colaboradores por sexo</t>
  </si>
  <si>
    <t>Nicaury Valentin</t>
  </si>
  <si>
    <t>Cantidad de Colaboradores por puesto</t>
  </si>
  <si>
    <t>Relacion de Colaboradores por puesto</t>
  </si>
  <si>
    <t>Cantidad de Colaboradores por profesión</t>
  </si>
  <si>
    <t>Relacion de  Colaboradores por profesión</t>
  </si>
  <si>
    <t>Ingresos de Personal</t>
  </si>
  <si>
    <t>Reporte de Ingresos de Personal</t>
  </si>
  <si>
    <t>Reingresos de Personal</t>
  </si>
  <si>
    <t>Reporte de Reingresos de Personal</t>
  </si>
  <si>
    <t>Revocaciones de nombramiento</t>
  </si>
  <si>
    <t>Reporte de Revocaciones de nombramiento</t>
  </si>
  <si>
    <t>Renuncias</t>
  </si>
  <si>
    <t>Reporte de Renuncias</t>
  </si>
  <si>
    <t>Destituciones</t>
  </si>
  <si>
    <t>Reporte de Destituciones</t>
  </si>
  <si>
    <t>Estados Financieros y sus notas</t>
  </si>
  <si>
    <t>Informe de situacion financiera semestral</t>
  </si>
  <si>
    <t>Direccion Financiera - Semestral</t>
  </si>
  <si>
    <t>Jenny Vasquez</t>
  </si>
  <si>
    <t>Consistente</t>
  </si>
  <si>
    <t>Word/PDF</t>
  </si>
  <si>
    <t>Reporte de Cuentas por Pagar</t>
  </si>
  <si>
    <t>Reporte por proveedor y antiguedad de las facturas registradas</t>
  </si>
  <si>
    <t>Direccion Financiera - Dpto. Contabilidad</t>
  </si>
  <si>
    <t>Johanna Perez - Niurka Quezada</t>
  </si>
  <si>
    <t>Reporte de Conciliaciones Bancarias</t>
  </si>
  <si>
    <t>Disponibilidad de fondos de todas las cuentas bancarias</t>
  </si>
  <si>
    <t>Johanna Perez - Israel Montero</t>
  </si>
  <si>
    <t>Estado de Cuenta de Proveedores</t>
  </si>
  <si>
    <t>Reporte de Movimientos (Facturas y pagos) de proveedor</t>
  </si>
  <si>
    <t>Listado de todos los activos de la institucion</t>
  </si>
  <si>
    <t>Dirección Administrativa</t>
  </si>
  <si>
    <t>Luis G. Sánchez</t>
  </si>
  <si>
    <t>Periódico</t>
  </si>
  <si>
    <t>Privado</t>
  </si>
  <si>
    <t>Normalizado</t>
  </si>
  <si>
    <t>Avacom</t>
  </si>
  <si>
    <t>Inventario de Artículos de Almacén y Suministros</t>
  </si>
  <si>
    <t>Listado de todos los articulos de los almacenes</t>
  </si>
  <si>
    <t>Diario</t>
  </si>
  <si>
    <t>Listado de los vehiculos y maquinarias pesadas, con detalle de sus chasis, placas, número de ficha, la información de la Direccion y el chofer asignado</t>
  </si>
  <si>
    <t>Plantilla que detalla y programa las adquisiciones de bienes, servicios y obras que una institución pública realizará durante el año fiscal</t>
  </si>
  <si>
    <t>Dorible Muñoz</t>
  </si>
  <si>
    <t>Público</t>
  </si>
  <si>
    <t>https://adn.gob.do/transparencia/download/1908/2025/9984/remision-plan-anual-de-compras-y-contrataciones-2025-pacc-2025.pdf</t>
  </si>
  <si>
    <t>Matriz de seguimeinto de los requerimientos de compras, donde se indica la fecha de recepcion, el área requirente y el detalle de la asignacion al analista (fecha y nombre) para fines de inicio del proceso.</t>
  </si>
  <si>
    <t>Matriz de seguimiento y control de las órdenes de compras, donde se indica el número de esta, el área requirente, la información del oferente adjudicado y la descripcion del bien adquirido o servico contratado</t>
  </si>
  <si>
    <t>31/2/2025</t>
  </si>
  <si>
    <t>Cada 4 años</t>
  </si>
  <si>
    <t>oct-dic 2024</t>
  </si>
  <si>
    <t>https://adn.gob.do/transparencia/organigrama/</t>
  </si>
  <si>
    <t>Inconsistente</t>
  </si>
  <si>
    <t>Cronogramas de Capacitaciones</t>
  </si>
  <si>
    <t>Listado de Grupos Ocupacionales</t>
  </si>
  <si>
    <t>Inventario de Vehiculos de Motor del ADN</t>
  </si>
  <si>
    <t>Inventario de Activos Fijos del ADN</t>
  </si>
  <si>
    <t>Matriz de Requerimientos Por Año</t>
  </si>
  <si>
    <t>Matriz de Ordenes de Compras Por Año</t>
  </si>
  <si>
    <t>Plan de Adquisisciones de Compras y Contrataciones</t>
  </si>
  <si>
    <t>Listado de autorizaciones ambientales</t>
  </si>
  <si>
    <t>Direcciones Reportadas</t>
  </si>
  <si>
    <t>Direcciones Pendientes</t>
  </si>
  <si>
    <t>Concejo Municipal (ver cual Bloque regidores)</t>
  </si>
  <si>
    <t>Cooperativa</t>
  </si>
  <si>
    <t>Despacho del Alcalde (sa)</t>
  </si>
  <si>
    <t>Despacho del Vice-Alcaldía</t>
  </si>
  <si>
    <t xml:space="preserve">Dirección  de Comunicaciones </t>
  </si>
  <si>
    <t>Dirección  de Patrimonio Cultural y Centro Histórico</t>
  </si>
  <si>
    <t>Dirección  de Registro Civil,</t>
  </si>
  <si>
    <t>Dirección  de Tecnología de la Información</t>
  </si>
  <si>
    <t>Dirección  Jurídica</t>
  </si>
  <si>
    <t xml:space="preserve">Dirección  Policía Municipal </t>
  </si>
  <si>
    <t>Dirección de Aseo Urbano y Equipos</t>
  </si>
  <si>
    <t>Dirección de Contraloría Municipal</t>
  </si>
  <si>
    <t>Dirección de Defensoria y Uso de Espacios Publicos</t>
  </si>
  <si>
    <t>Dirección de Desarrollo Comunitario</t>
  </si>
  <si>
    <t>Dirección de Gestión Ambiental</t>
  </si>
  <si>
    <t xml:space="preserve">Dirección de Innovacion y Proyectos especiales </t>
  </si>
  <si>
    <t>Dirección de Parques y Plazas</t>
  </si>
  <si>
    <t>Dirección de Recaudación Cobranzas Tributo</t>
  </si>
  <si>
    <t>Dirección de Recaudación Cobranzas Aseo</t>
  </si>
  <si>
    <t xml:space="preserve">Dirección de Recaudación Gestiol Comercial </t>
  </si>
  <si>
    <t>Dirección de Recaudación Actualizacion BD</t>
  </si>
  <si>
    <t>Dirección de Recaudación Telepago</t>
  </si>
  <si>
    <t>Dirección de Recaudación Operaciones</t>
  </si>
  <si>
    <t>Dirección de Servicio Social</t>
  </si>
  <si>
    <t>Dirección de Servicios Públicos</t>
  </si>
  <si>
    <t>Dirección de Tesorería</t>
  </si>
  <si>
    <t xml:space="preserve">Dirección de Tránsito y Movilidad Urbana </t>
  </si>
  <si>
    <t>Dirección Inmobiliaria</t>
  </si>
  <si>
    <t>Gobernacion Consistorial</t>
  </si>
  <si>
    <t>Gobernacion Montesinos</t>
  </si>
  <si>
    <t>Secretaría General</t>
  </si>
  <si>
    <t>Cuerpo de Bomberos del DN</t>
  </si>
  <si>
    <t>Concejo Municipal</t>
  </si>
  <si>
    <t>Observatorio</t>
  </si>
  <si>
    <t>Direccíon De Gestion Ambiental</t>
  </si>
  <si>
    <t>Cantidad de Arboles Sembrados en el D.N</t>
  </si>
  <si>
    <t xml:space="preserve">Reporte de cantidad de arboles, arbustos y grama sembrada </t>
  </si>
  <si>
    <t>Cantidad de Arboles Podados y/o Cortados en el D.N</t>
  </si>
  <si>
    <t xml:space="preserve">Mantenimiento de calles, avenidas, </t>
  </si>
  <si>
    <t>Cantidad de calles, avenidas y total de intervenciones realizadas</t>
  </si>
  <si>
    <t>Reporte de Denuncias Ambientales</t>
  </si>
  <si>
    <t>Srta. Fernanda Montero</t>
  </si>
  <si>
    <t>Ing. Felix Abreu/ Srta. Fernanda Montero</t>
  </si>
  <si>
    <t>Lic. Altagracia Taveras</t>
  </si>
  <si>
    <t>Reporte de Cristales Rotos</t>
  </si>
  <si>
    <t>Reporte Del Plan Operativo Anual</t>
  </si>
  <si>
    <t>Reporte del POA que se raliza de todas las actividades de la Dirección</t>
  </si>
  <si>
    <t>Lic. Rudy Díaz/ Sra. Ana Guzman</t>
  </si>
  <si>
    <t>Cantidad de  denuncias ambientales del ciudadano inspeccionadas y resueltas</t>
  </si>
  <si>
    <t>Mantenimiento de parques, cementerios y plazas del DN</t>
  </si>
  <si>
    <t>Trimestral/ Anual</t>
  </si>
  <si>
    <t>Solicitudes de Casos de Poda  recibidos/ resueltos</t>
  </si>
  <si>
    <t>Reporte de Casos Atendidos y/o Pendientes</t>
  </si>
  <si>
    <t>Reporet de Poda y corte de arboles realizados en el D:N</t>
  </si>
  <si>
    <t>Dirección De Gestión Ambiental</t>
  </si>
  <si>
    <t>Lic.. Francisco Metz/ Agr. Sara López</t>
  </si>
  <si>
    <t>Lic. Rudy Díaz</t>
  </si>
  <si>
    <t>Cantidad de  parques, cementerios y plazas y total de intervenciones realizadas</t>
  </si>
  <si>
    <t>Lic. Rudy Díaz/ Ing. Félix Abreu</t>
  </si>
  <si>
    <t>Ing. Félix Abreu</t>
  </si>
  <si>
    <t>Reporte de Denuncias de Solares Baldíos</t>
  </si>
  <si>
    <t>Cantidad de  denuncias de solares baldíos, los cuales se inspecciona y se procede a la limpieza de los mismos por los propietarios</t>
  </si>
  <si>
    <t>Cantidad de Cristales de Vehículos afectados por los trabajos relazados por las brigadas en el DN, los cuales el ayuntamiento se hace responsable del pago de los mismos.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</si>
</sst>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ook Antiqua"/>
      <family val="1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Book Antiqua"/>
      <family val="1"/>
    </font>
    <font>
      <sz val="11"/>
      <color theme="1"/>
      <name val="Calibri"/>
      <family val="2"/>
      <scheme val="minor"/>
    </font>
    <font>
      <sz val="12"/>
      <color indexed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14" fontId="0" fillId="0" borderId="4" xfId="0" applyNumberFormat="1" applyBorder="1"/>
    <xf numFmtId="0" fontId="0" fillId="0" borderId="4" xfId="0" applyBorder="1" applyAlignment="1">
      <alignment vertical="center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0" fontId="0" fillId="0" borderId="4" xfId="0" applyBorder="1" applyAlignment="1">
      <alignment wrapText="1"/>
    </xf>
    <xf numFmtId="0" fontId="10" fillId="0" borderId="4" xfId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22" fontId="1" fillId="0" borderId="0" xfId="0" applyNumberFormat="1" applyFont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17" fontId="0" fillId="0" borderId="4" xfId="0" applyNumberFormat="1" applyBorder="1" applyAlignment="1">
      <alignment horizontal="center"/>
    </xf>
    <xf numFmtId="0" fontId="0" fillId="0" borderId="0" xfId="0" applyAlignment="1" applyProtection="1">
      <alignment horizontal="left" vertical="center"/>
      <protection locked="0"/>
    </xf>
    <xf numFmtId="0" fontId="1" fillId="3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13" fillId="0" borderId="4" xfId="0" applyFont="1" applyBorder="1" applyAlignment="1">
      <alignment vertical="top"/>
    </xf>
    <xf numFmtId="0" fontId="1" fillId="4" borderId="4" xfId="0" applyFont="1" applyFill="1" applyBorder="1"/>
    <xf numFmtId="9" fontId="0" fillId="2" borderId="0" xfId="2" applyFont="1" applyFill="1" applyAlignment="1">
      <alignment horizontal="center"/>
    </xf>
    <xf numFmtId="0" fontId="13" fillId="0" borderId="5" xfId="0" applyFont="1" applyBorder="1" applyAlignment="1">
      <alignment vertical="top"/>
    </xf>
    <xf numFmtId="0" fontId="0" fillId="3" borderId="4" xfId="0" applyFill="1" applyBorder="1"/>
    <xf numFmtId="0" fontId="0" fillId="3" borderId="4" xfId="0" applyFill="1" applyBorder="1" applyAlignment="1">
      <alignment wrapText="1"/>
    </xf>
    <xf numFmtId="0" fontId="0" fillId="3" borderId="4" xfId="0" applyFill="1" applyBorder="1" applyAlignment="1" applyProtection="1">
      <alignment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vertical="center" wrapText="1"/>
      <protection locked="0"/>
    </xf>
    <xf numFmtId="164" fontId="0" fillId="3" borderId="4" xfId="0" applyNumberFormat="1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left" vertical="center"/>
      <protection locked="0"/>
    </xf>
    <xf numFmtId="0" fontId="0" fillId="3" borderId="4" xfId="0" applyFill="1" applyBorder="1" applyAlignment="1">
      <alignment vertical="center" wrapText="1"/>
    </xf>
    <xf numFmtId="0" fontId="0" fillId="3" borderId="4" xfId="0" applyFill="1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0" fontId="2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</cellXfs>
  <cellStyles count="3">
    <cellStyle name="Hipervínculo" xfId="1" builtinId="8"/>
    <cellStyle name="Normal" xfId="0" builtinId="0"/>
    <cellStyle name="Porcentaje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dn.gob.do/transparencia/download/1908/2025/9984/remision-plan-anual-de-compras-y-contrataciones-2025-pacc-2025.pdf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15"/>
  <sheetViews>
    <sheetView showGridLines="0" tabSelected="1" topLeftCell="A4" zoomScale="130" zoomScaleNormal="130" workbookViewId="0">
      <selection activeCell="C18" sqref="C18"/>
    </sheetView>
  </sheetViews>
  <sheetFormatPr baseColWidth="10" defaultRowHeight="15" x14ac:dyDescent="0.25"/>
  <cols>
    <col min="1" max="1" width="5.140625" bestFit="1" customWidth="1"/>
    <col min="2" max="2" width="37.28515625" customWidth="1"/>
    <col min="3" max="3" width="55.85546875" customWidth="1"/>
    <col min="4" max="4" width="23.42578125" style="17" bestFit="1" customWidth="1"/>
    <col min="5" max="5" width="45" customWidth="1"/>
    <col min="6" max="6" width="29.7109375" bestFit="1" customWidth="1"/>
    <col min="7" max="7" width="15.7109375" customWidth="1"/>
    <col min="8" max="8" width="13.5703125" customWidth="1"/>
    <col min="9" max="9" width="15.85546875" customWidth="1"/>
    <col min="10" max="10" width="9" customWidth="1"/>
    <col min="11" max="11" width="13.140625" style="17" customWidth="1"/>
    <col min="12" max="12" width="38.7109375" customWidth="1"/>
    <col min="13" max="13" width="10.28515625" style="17" customWidth="1"/>
    <col min="14" max="14" width="11.42578125" style="17"/>
    <col min="15" max="15" width="13.85546875" style="24" customWidth="1"/>
  </cols>
  <sheetData>
    <row r="1" spans="1:15" x14ac:dyDescent="0.25">
      <c r="A1" s="1"/>
      <c r="B1" s="1"/>
      <c r="C1" s="1"/>
      <c r="D1" s="2"/>
      <c r="E1" s="1"/>
      <c r="F1" s="1"/>
      <c r="G1" s="3"/>
      <c r="H1" s="1"/>
      <c r="I1" s="1"/>
      <c r="J1" s="1"/>
      <c r="K1" s="2"/>
      <c r="L1" s="1"/>
      <c r="M1" s="2"/>
      <c r="N1" s="2"/>
      <c r="O1" s="20"/>
    </row>
    <row r="2" spans="1:15" ht="18.75" x14ac:dyDescent="0.25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ht="18.75" x14ac:dyDescent="0.25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ht="16.5" x14ac:dyDescent="0.25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ht="16.5" x14ac:dyDescent="0.25">
      <c r="A5" s="41" t="s">
        <v>181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5" ht="21" x14ac:dyDescent="0.25">
      <c r="A6" s="1"/>
      <c r="B6" s="1"/>
      <c r="C6" s="14" t="s">
        <v>182</v>
      </c>
      <c r="D6" s="15">
        <f ca="1">NOW()</f>
        <v>45873.421563310185</v>
      </c>
      <c r="E6" s="1"/>
      <c r="F6" s="1"/>
      <c r="G6" s="3"/>
      <c r="H6" s="42" t="s">
        <v>3</v>
      </c>
      <c r="I6" s="43"/>
      <c r="J6" s="43"/>
      <c r="K6" s="43"/>
      <c r="L6" s="43"/>
      <c r="M6" s="44"/>
      <c r="N6" s="2"/>
      <c r="O6" s="20"/>
    </row>
    <row r="7" spans="1:15" ht="30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1" t="s">
        <v>18</v>
      </c>
    </row>
    <row r="8" spans="1:15" hidden="1" x14ac:dyDescent="0.25">
      <c r="A8" s="5">
        <v>1</v>
      </c>
      <c r="B8" s="12" t="s">
        <v>19</v>
      </c>
      <c r="C8" s="5" t="s">
        <v>20</v>
      </c>
      <c r="D8" s="16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55</v>
      </c>
      <c r="K8" s="6">
        <v>45705</v>
      </c>
      <c r="L8" s="5"/>
      <c r="M8" s="16" t="s">
        <v>27</v>
      </c>
      <c r="N8" s="16" t="s">
        <v>28</v>
      </c>
      <c r="O8" s="22" t="s">
        <v>29</v>
      </c>
    </row>
    <row r="9" spans="1:15" ht="45" hidden="1" x14ac:dyDescent="0.25">
      <c r="A9" s="5">
        <v>2</v>
      </c>
      <c r="B9" s="12" t="s">
        <v>310</v>
      </c>
      <c r="C9" s="10" t="s">
        <v>296</v>
      </c>
      <c r="D9" s="9" t="s">
        <v>21</v>
      </c>
      <c r="E9" s="8" t="s">
        <v>287</v>
      </c>
      <c r="F9" s="8" t="s">
        <v>288</v>
      </c>
      <c r="G9" s="10" t="s">
        <v>24</v>
      </c>
      <c r="H9" s="8" t="s">
        <v>290</v>
      </c>
      <c r="I9" s="8" t="s">
        <v>291</v>
      </c>
      <c r="J9" s="8" t="s">
        <v>55</v>
      </c>
      <c r="K9" s="11">
        <v>45720</v>
      </c>
      <c r="L9" s="8"/>
      <c r="M9" s="9" t="s">
        <v>27</v>
      </c>
      <c r="N9" s="9" t="s">
        <v>28</v>
      </c>
      <c r="O9" s="23" t="s">
        <v>54</v>
      </c>
    </row>
    <row r="10" spans="1:15" hidden="1" x14ac:dyDescent="0.25">
      <c r="A10" s="5">
        <v>3</v>
      </c>
      <c r="B10" s="12" t="s">
        <v>311</v>
      </c>
      <c r="C10" s="8" t="s">
        <v>286</v>
      </c>
      <c r="D10" s="9" t="s">
        <v>21</v>
      </c>
      <c r="E10" s="8" t="s">
        <v>287</v>
      </c>
      <c r="F10" s="8" t="s">
        <v>288</v>
      </c>
      <c r="G10" s="10" t="s">
        <v>289</v>
      </c>
      <c r="H10" s="8" t="s">
        <v>290</v>
      </c>
      <c r="I10" s="8" t="s">
        <v>291</v>
      </c>
      <c r="J10" s="8" t="s">
        <v>55</v>
      </c>
      <c r="K10" s="11">
        <v>45657</v>
      </c>
      <c r="L10" s="8"/>
      <c r="M10" s="9" t="s">
        <v>292</v>
      </c>
      <c r="N10" s="9" t="s">
        <v>28</v>
      </c>
      <c r="O10" s="23" t="s">
        <v>54</v>
      </c>
    </row>
    <row r="11" spans="1:15" ht="30" hidden="1" x14ac:dyDescent="0.25">
      <c r="A11" s="5">
        <v>4</v>
      </c>
      <c r="B11" s="12" t="s">
        <v>293</v>
      </c>
      <c r="C11" s="8" t="s">
        <v>294</v>
      </c>
      <c r="D11" s="9" t="s">
        <v>21</v>
      </c>
      <c r="E11" s="8" t="s">
        <v>287</v>
      </c>
      <c r="F11" s="8" t="s">
        <v>288</v>
      </c>
      <c r="G11" s="10" t="s">
        <v>295</v>
      </c>
      <c r="H11" s="8" t="s">
        <v>290</v>
      </c>
      <c r="I11" s="8" t="s">
        <v>291</v>
      </c>
      <c r="J11" s="8" t="s">
        <v>55</v>
      </c>
      <c r="K11" s="11">
        <v>45716</v>
      </c>
      <c r="L11" s="8"/>
      <c r="M11" s="9" t="s">
        <v>292</v>
      </c>
      <c r="N11" s="9" t="s">
        <v>28</v>
      </c>
      <c r="O11" s="23" t="s">
        <v>54</v>
      </c>
    </row>
    <row r="12" spans="1:15" ht="60" hidden="1" x14ac:dyDescent="0.25">
      <c r="A12" s="5">
        <v>5</v>
      </c>
      <c r="B12" s="12" t="s">
        <v>312</v>
      </c>
      <c r="C12" s="10" t="s">
        <v>301</v>
      </c>
      <c r="D12" s="9" t="s">
        <v>21</v>
      </c>
      <c r="E12" s="8" t="s">
        <v>287</v>
      </c>
      <c r="F12" s="8" t="s">
        <v>298</v>
      </c>
      <c r="G12" s="10" t="s">
        <v>24</v>
      </c>
      <c r="H12" s="8" t="s">
        <v>290</v>
      </c>
      <c r="I12" s="8" t="s">
        <v>291</v>
      </c>
      <c r="J12" s="8" t="s">
        <v>55</v>
      </c>
      <c r="K12" s="11">
        <v>45716</v>
      </c>
      <c r="L12" s="8"/>
      <c r="M12" s="9" t="s">
        <v>27</v>
      </c>
      <c r="N12" s="9" t="s">
        <v>28</v>
      </c>
      <c r="O12" s="23" t="s">
        <v>54</v>
      </c>
    </row>
    <row r="13" spans="1:15" ht="60" hidden="1" x14ac:dyDescent="0.25">
      <c r="A13" s="5">
        <v>6</v>
      </c>
      <c r="B13" s="12" t="s">
        <v>313</v>
      </c>
      <c r="C13" s="10" t="s">
        <v>302</v>
      </c>
      <c r="D13" s="9" t="s">
        <v>21</v>
      </c>
      <c r="E13" s="8" t="s">
        <v>287</v>
      </c>
      <c r="F13" s="8" t="s">
        <v>298</v>
      </c>
      <c r="G13" s="10" t="s">
        <v>44</v>
      </c>
      <c r="H13" s="8" t="s">
        <v>290</v>
      </c>
      <c r="I13" s="8" t="s">
        <v>291</v>
      </c>
      <c r="J13" s="8" t="s">
        <v>55</v>
      </c>
      <c r="K13" s="11" t="s">
        <v>303</v>
      </c>
      <c r="L13" s="8"/>
      <c r="M13" s="9" t="s">
        <v>27</v>
      </c>
      <c r="N13" s="9" t="s">
        <v>28</v>
      </c>
      <c r="O13" s="23" t="s">
        <v>54</v>
      </c>
    </row>
    <row r="14" spans="1:15" ht="45" hidden="1" x14ac:dyDescent="0.25">
      <c r="A14" s="5">
        <v>7</v>
      </c>
      <c r="B14" s="12" t="s">
        <v>314</v>
      </c>
      <c r="C14" s="10" t="s">
        <v>297</v>
      </c>
      <c r="D14" s="9" t="s">
        <v>21</v>
      </c>
      <c r="E14" s="8" t="s">
        <v>287</v>
      </c>
      <c r="F14" s="8" t="s">
        <v>298</v>
      </c>
      <c r="G14" s="10" t="s">
        <v>86</v>
      </c>
      <c r="H14" s="8" t="s">
        <v>299</v>
      </c>
      <c r="I14" s="8" t="s">
        <v>291</v>
      </c>
      <c r="J14" s="8" t="s">
        <v>55</v>
      </c>
      <c r="K14" s="11">
        <v>45686</v>
      </c>
      <c r="L14" s="8" t="s">
        <v>300</v>
      </c>
      <c r="M14" s="9" t="s">
        <v>27</v>
      </c>
      <c r="N14" s="9" t="s">
        <v>65</v>
      </c>
      <c r="O14" s="23" t="s">
        <v>299</v>
      </c>
    </row>
    <row r="15" spans="1:15" x14ac:dyDescent="0.25">
      <c r="A15" s="5">
        <v>8</v>
      </c>
      <c r="B15" s="12" t="s">
        <v>96</v>
      </c>
      <c r="C15" s="5" t="s">
        <v>97</v>
      </c>
      <c r="D15" s="16" t="s">
        <v>21</v>
      </c>
      <c r="E15" s="5" t="s">
        <v>98</v>
      </c>
      <c r="F15" s="5" t="s">
        <v>99</v>
      </c>
      <c r="G15" s="5" t="s">
        <v>86</v>
      </c>
      <c r="H15" s="5" t="s">
        <v>36</v>
      </c>
      <c r="I15" s="5" t="s">
        <v>60</v>
      </c>
      <c r="J15" s="5" t="s">
        <v>55</v>
      </c>
      <c r="K15" s="5">
        <v>45575</v>
      </c>
      <c r="L15" s="5"/>
      <c r="M15" s="16" t="s">
        <v>27</v>
      </c>
      <c r="N15" s="16" t="s">
        <v>65</v>
      </c>
      <c r="O15" s="22" t="s">
        <v>95</v>
      </c>
    </row>
    <row r="16" spans="1:15" hidden="1" x14ac:dyDescent="0.25">
      <c r="A16" s="5">
        <v>9</v>
      </c>
      <c r="B16" s="12" t="s">
        <v>56</v>
      </c>
      <c r="C16" s="5" t="s">
        <v>57</v>
      </c>
      <c r="D16" s="16" t="s">
        <v>21</v>
      </c>
      <c r="E16" s="5" t="s">
        <v>179</v>
      </c>
      <c r="F16" s="5"/>
      <c r="G16" s="5" t="s">
        <v>44</v>
      </c>
      <c r="H16" s="5" t="s">
        <v>25</v>
      </c>
      <c r="I16" s="5" t="s">
        <v>37</v>
      </c>
      <c r="J16" s="5" t="s">
        <v>55</v>
      </c>
      <c r="K16" s="5"/>
      <c r="L16" s="5"/>
      <c r="M16" s="16"/>
      <c r="N16" s="16"/>
      <c r="O16" s="22"/>
    </row>
    <row r="17" spans="1:15" ht="30" x14ac:dyDescent="0.25">
      <c r="A17" s="5">
        <v>10</v>
      </c>
      <c r="B17" s="12" t="s">
        <v>148</v>
      </c>
      <c r="C17" s="5" t="s">
        <v>149</v>
      </c>
      <c r="D17" s="16" t="s">
        <v>150</v>
      </c>
      <c r="E17" s="5" t="s">
        <v>98</v>
      </c>
      <c r="F17" s="5" t="s">
        <v>128</v>
      </c>
      <c r="G17" s="5" t="s">
        <v>35</v>
      </c>
      <c r="H17" s="5" t="s">
        <v>36</v>
      </c>
      <c r="I17" s="5" t="s">
        <v>60</v>
      </c>
      <c r="J17" s="5" t="s">
        <v>38</v>
      </c>
      <c r="K17" s="5"/>
      <c r="L17" s="5"/>
      <c r="M17" s="16" t="s">
        <v>27</v>
      </c>
      <c r="N17" s="16" t="s">
        <v>65</v>
      </c>
      <c r="O17" s="22" t="s">
        <v>95</v>
      </c>
    </row>
    <row r="18" spans="1:15" ht="30" x14ac:dyDescent="0.25">
      <c r="A18" s="5">
        <v>11</v>
      </c>
      <c r="B18" s="12" t="s">
        <v>106</v>
      </c>
      <c r="C18" s="5" t="s">
        <v>107</v>
      </c>
      <c r="D18" s="16" t="s">
        <v>21</v>
      </c>
      <c r="E18" s="5" t="s">
        <v>98</v>
      </c>
      <c r="F18" s="5" t="s">
        <v>103</v>
      </c>
      <c r="G18" s="5" t="s">
        <v>35</v>
      </c>
      <c r="H18" s="5" t="s">
        <v>36</v>
      </c>
      <c r="I18" s="5" t="s">
        <v>60</v>
      </c>
      <c r="J18" s="5" t="s">
        <v>55</v>
      </c>
      <c r="K18" s="5">
        <v>45636</v>
      </c>
      <c r="L18" s="5"/>
      <c r="M18" s="16" t="s">
        <v>27</v>
      </c>
      <c r="N18" s="16" t="s">
        <v>65</v>
      </c>
      <c r="O18" s="22" t="s">
        <v>95</v>
      </c>
    </row>
    <row r="19" spans="1:15" x14ac:dyDescent="0.25">
      <c r="A19" s="5">
        <v>12</v>
      </c>
      <c r="B19" s="12" t="s">
        <v>125</v>
      </c>
      <c r="C19" s="5" t="s">
        <v>126</v>
      </c>
      <c r="D19" s="16" t="s">
        <v>127</v>
      </c>
      <c r="E19" s="5" t="s">
        <v>98</v>
      </c>
      <c r="F19" s="5" t="s">
        <v>128</v>
      </c>
      <c r="G19" s="5" t="s">
        <v>35</v>
      </c>
      <c r="H19" s="5" t="s">
        <v>36</v>
      </c>
      <c r="I19" s="5" t="s">
        <v>60</v>
      </c>
      <c r="J19" s="5" t="s">
        <v>38</v>
      </c>
      <c r="K19" s="5"/>
      <c r="L19" s="5"/>
      <c r="M19" s="16" t="s">
        <v>27</v>
      </c>
      <c r="N19" s="16" t="s">
        <v>65</v>
      </c>
      <c r="O19" s="22" t="s">
        <v>95</v>
      </c>
    </row>
    <row r="20" spans="1:15" ht="30" x14ac:dyDescent="0.25">
      <c r="A20" s="5">
        <v>13</v>
      </c>
      <c r="B20" s="12" t="s">
        <v>112</v>
      </c>
      <c r="C20" s="5" t="s">
        <v>113</v>
      </c>
      <c r="D20" s="16" t="s">
        <v>21</v>
      </c>
      <c r="E20" s="5" t="s">
        <v>98</v>
      </c>
      <c r="F20" s="5" t="s">
        <v>114</v>
      </c>
      <c r="G20" s="5" t="s">
        <v>86</v>
      </c>
      <c r="H20" s="5" t="s">
        <v>36</v>
      </c>
      <c r="I20" s="5" t="s">
        <v>60</v>
      </c>
      <c r="J20" s="5" t="s">
        <v>55</v>
      </c>
      <c r="K20" s="5">
        <v>45636</v>
      </c>
      <c r="L20" s="5"/>
      <c r="M20" s="16" t="s">
        <v>27</v>
      </c>
      <c r="N20" s="16" t="s">
        <v>65</v>
      </c>
      <c r="O20" s="22" t="s">
        <v>95</v>
      </c>
    </row>
    <row r="21" spans="1:15" x14ac:dyDescent="0.25">
      <c r="A21" s="5">
        <v>14</v>
      </c>
      <c r="B21" s="12" t="s">
        <v>120</v>
      </c>
      <c r="C21" s="5" t="s">
        <v>121</v>
      </c>
      <c r="D21" s="16" t="s">
        <v>21</v>
      </c>
      <c r="E21" s="5" t="s">
        <v>98</v>
      </c>
      <c r="F21" s="5" t="s">
        <v>114</v>
      </c>
      <c r="G21" s="5" t="s">
        <v>86</v>
      </c>
      <c r="H21" s="5" t="s">
        <v>36</v>
      </c>
      <c r="I21" s="5" t="s">
        <v>60</v>
      </c>
      <c r="J21" s="5" t="s">
        <v>55</v>
      </c>
      <c r="K21" s="5">
        <v>45636</v>
      </c>
      <c r="L21" s="5"/>
      <c r="M21" s="16" t="s">
        <v>27</v>
      </c>
      <c r="N21" s="16" t="s">
        <v>65</v>
      </c>
      <c r="O21" s="22" t="s">
        <v>95</v>
      </c>
    </row>
    <row r="22" spans="1:15" ht="30" x14ac:dyDescent="0.25">
      <c r="A22" s="5">
        <v>15</v>
      </c>
      <c r="B22" s="12" t="s">
        <v>110</v>
      </c>
      <c r="C22" s="5" t="s">
        <v>111</v>
      </c>
      <c r="D22" s="16" t="s">
        <v>21</v>
      </c>
      <c r="E22" s="5" t="s">
        <v>98</v>
      </c>
      <c r="F22" s="5" t="s">
        <v>103</v>
      </c>
      <c r="G22" s="5" t="s">
        <v>35</v>
      </c>
      <c r="H22" s="5" t="s">
        <v>36</v>
      </c>
      <c r="I22" s="5" t="s">
        <v>60</v>
      </c>
      <c r="J22" s="5" t="s">
        <v>55</v>
      </c>
      <c r="K22" s="5">
        <v>45636</v>
      </c>
      <c r="L22" s="5"/>
      <c r="M22" s="16" t="s">
        <v>27</v>
      </c>
      <c r="N22" s="16" t="s">
        <v>65</v>
      </c>
      <c r="O22" s="22" t="s">
        <v>95</v>
      </c>
    </row>
    <row r="23" spans="1:15" x14ac:dyDescent="0.25">
      <c r="A23" s="5">
        <v>16</v>
      </c>
      <c r="B23" s="12" t="s">
        <v>145</v>
      </c>
      <c r="C23" s="5" t="s">
        <v>146</v>
      </c>
      <c r="D23" s="16" t="s">
        <v>147</v>
      </c>
      <c r="E23" s="5" t="s">
        <v>98</v>
      </c>
      <c r="F23" s="5" t="s">
        <v>128</v>
      </c>
      <c r="G23" s="5" t="s">
        <v>35</v>
      </c>
      <c r="H23" s="5" t="s">
        <v>36</v>
      </c>
      <c r="I23" s="5" t="s">
        <v>60</v>
      </c>
      <c r="J23" s="5" t="s">
        <v>38</v>
      </c>
      <c r="K23" s="5"/>
      <c r="L23" s="5"/>
      <c r="M23" s="16" t="s">
        <v>27</v>
      </c>
      <c r="N23" s="16" t="s">
        <v>65</v>
      </c>
      <c r="O23" s="22" t="s">
        <v>95</v>
      </c>
    </row>
    <row r="24" spans="1:15" x14ac:dyDescent="0.25">
      <c r="A24" s="5">
        <v>17</v>
      </c>
      <c r="B24" s="12" t="s">
        <v>115</v>
      </c>
      <c r="C24" s="5" t="s">
        <v>116</v>
      </c>
      <c r="D24" s="16" t="s">
        <v>21</v>
      </c>
      <c r="E24" s="5" t="s">
        <v>98</v>
      </c>
      <c r="F24" s="5" t="s">
        <v>117</v>
      </c>
      <c r="G24" s="5" t="s">
        <v>86</v>
      </c>
      <c r="H24" s="5" t="s">
        <v>36</v>
      </c>
      <c r="I24" s="5" t="s">
        <v>60</v>
      </c>
      <c r="J24" s="5" t="s">
        <v>55</v>
      </c>
      <c r="K24" s="5">
        <v>45636</v>
      </c>
      <c r="L24" s="5"/>
      <c r="M24" s="16" t="s">
        <v>27</v>
      </c>
      <c r="N24" s="16" t="s">
        <v>65</v>
      </c>
      <c r="O24" s="22" t="s">
        <v>95</v>
      </c>
    </row>
    <row r="25" spans="1:15" x14ac:dyDescent="0.25">
      <c r="A25" s="5">
        <v>18</v>
      </c>
      <c r="B25" s="12" t="s">
        <v>118</v>
      </c>
      <c r="C25" s="5" t="s">
        <v>119</v>
      </c>
      <c r="D25" s="16" t="s">
        <v>21</v>
      </c>
      <c r="E25" s="5" t="s">
        <v>98</v>
      </c>
      <c r="F25" s="5" t="s">
        <v>117</v>
      </c>
      <c r="G25" s="5" t="s">
        <v>86</v>
      </c>
      <c r="H25" s="5" t="s">
        <v>36</v>
      </c>
      <c r="I25" s="5" t="s">
        <v>60</v>
      </c>
      <c r="J25" s="5" t="s">
        <v>55</v>
      </c>
      <c r="K25" s="5">
        <v>45636</v>
      </c>
      <c r="L25" s="5"/>
      <c r="M25" s="16" t="s">
        <v>27</v>
      </c>
      <c r="N25" s="16" t="s">
        <v>65</v>
      </c>
      <c r="O25" s="22" t="s">
        <v>95</v>
      </c>
    </row>
    <row r="26" spans="1:15" ht="30" x14ac:dyDescent="0.25">
      <c r="A26" s="5">
        <v>19</v>
      </c>
      <c r="B26" s="12" t="s">
        <v>154</v>
      </c>
      <c r="C26" s="5" t="s">
        <v>155</v>
      </c>
      <c r="D26" s="16" t="s">
        <v>156</v>
      </c>
      <c r="E26" s="5" t="s">
        <v>98</v>
      </c>
      <c r="F26" s="5" t="s">
        <v>128</v>
      </c>
      <c r="G26" s="5" t="s">
        <v>86</v>
      </c>
      <c r="H26" s="5" t="s">
        <v>36</v>
      </c>
      <c r="I26" s="5" t="s">
        <v>60</v>
      </c>
      <c r="J26" s="5" t="s">
        <v>38</v>
      </c>
      <c r="K26" s="5"/>
      <c r="L26" s="5"/>
      <c r="M26" s="16" t="s">
        <v>27</v>
      </c>
      <c r="N26" s="16" t="s">
        <v>65</v>
      </c>
      <c r="O26" s="22" t="s">
        <v>95</v>
      </c>
    </row>
    <row r="27" spans="1:15" ht="30" x14ac:dyDescent="0.25">
      <c r="A27" s="5">
        <v>20</v>
      </c>
      <c r="B27" s="12" t="s">
        <v>129</v>
      </c>
      <c r="C27" s="5" t="s">
        <v>130</v>
      </c>
      <c r="D27" s="16" t="s">
        <v>131</v>
      </c>
      <c r="E27" s="5" t="s">
        <v>98</v>
      </c>
      <c r="F27" s="5" t="s">
        <v>128</v>
      </c>
      <c r="G27" s="5" t="s">
        <v>86</v>
      </c>
      <c r="H27" s="5" t="s">
        <v>25</v>
      </c>
      <c r="I27" s="5" t="s">
        <v>37</v>
      </c>
      <c r="J27" s="5" t="s">
        <v>38</v>
      </c>
      <c r="K27" s="5"/>
      <c r="L27" s="5"/>
      <c r="M27" s="16" t="s">
        <v>27</v>
      </c>
      <c r="N27" s="16" t="s">
        <v>65</v>
      </c>
      <c r="O27" s="22" t="s">
        <v>54</v>
      </c>
    </row>
    <row r="28" spans="1:15" x14ac:dyDescent="0.25">
      <c r="A28" s="5">
        <v>21</v>
      </c>
      <c r="B28" s="12" t="s">
        <v>104</v>
      </c>
      <c r="C28" s="5" t="s">
        <v>105</v>
      </c>
      <c r="D28" s="16" t="s">
        <v>21</v>
      </c>
      <c r="E28" s="5" t="s">
        <v>98</v>
      </c>
      <c r="F28" s="5" t="s">
        <v>103</v>
      </c>
      <c r="G28" s="5" t="s">
        <v>35</v>
      </c>
      <c r="H28" s="5" t="s">
        <v>36</v>
      </c>
      <c r="I28" s="5" t="s">
        <v>60</v>
      </c>
      <c r="J28" s="5" t="s">
        <v>55</v>
      </c>
      <c r="K28" s="5">
        <v>45636</v>
      </c>
      <c r="L28" s="5"/>
      <c r="M28" s="16" t="s">
        <v>27</v>
      </c>
      <c r="N28" s="16" t="s">
        <v>65</v>
      </c>
      <c r="O28" s="22" t="s">
        <v>95</v>
      </c>
    </row>
    <row r="29" spans="1:15" ht="30" x14ac:dyDescent="0.25">
      <c r="A29" s="5">
        <v>22</v>
      </c>
      <c r="B29" s="12" t="s">
        <v>100</v>
      </c>
      <c r="C29" s="5" t="s">
        <v>101</v>
      </c>
      <c r="D29" s="16" t="s">
        <v>21</v>
      </c>
      <c r="E29" s="5" t="s">
        <v>98</v>
      </c>
      <c r="F29" s="5" t="s">
        <v>103</v>
      </c>
      <c r="G29" s="5" t="s">
        <v>35</v>
      </c>
      <c r="H29" s="5" t="s">
        <v>36</v>
      </c>
      <c r="I29" s="5" t="s">
        <v>60</v>
      </c>
      <c r="J29" s="5" t="s">
        <v>55</v>
      </c>
      <c r="K29" s="5">
        <v>45636</v>
      </c>
      <c r="L29" s="5"/>
      <c r="M29" s="16" t="s">
        <v>27</v>
      </c>
      <c r="N29" s="16" t="s">
        <v>65</v>
      </c>
      <c r="O29" s="22" t="s">
        <v>95</v>
      </c>
    </row>
    <row r="30" spans="1:15" ht="30" x14ac:dyDescent="0.25">
      <c r="A30" s="5">
        <v>23</v>
      </c>
      <c r="B30" s="12" t="s">
        <v>157</v>
      </c>
      <c r="C30" s="5" t="s">
        <v>158</v>
      </c>
      <c r="D30" s="16" t="s">
        <v>150</v>
      </c>
      <c r="E30" s="5" t="s">
        <v>98</v>
      </c>
      <c r="F30" s="5" t="s">
        <v>128</v>
      </c>
      <c r="G30" s="5" t="s">
        <v>35</v>
      </c>
      <c r="H30" s="5" t="s">
        <v>36</v>
      </c>
      <c r="I30" s="5" t="s">
        <v>60</v>
      </c>
      <c r="J30" s="5" t="s">
        <v>38</v>
      </c>
      <c r="K30" s="5">
        <v>43831</v>
      </c>
      <c r="L30" s="5" t="s">
        <v>159</v>
      </c>
      <c r="M30" s="16" t="s">
        <v>27</v>
      </c>
      <c r="N30" s="16" t="s">
        <v>65</v>
      </c>
      <c r="O30" s="22" t="s">
        <v>95</v>
      </c>
    </row>
    <row r="31" spans="1:15" ht="30" x14ac:dyDescent="0.25">
      <c r="A31" s="5">
        <v>24</v>
      </c>
      <c r="B31" s="12" t="s">
        <v>151</v>
      </c>
      <c r="C31" s="5" t="s">
        <v>152</v>
      </c>
      <c r="D31" s="16" t="s">
        <v>153</v>
      </c>
      <c r="E31" s="5" t="s">
        <v>98</v>
      </c>
      <c r="F31" s="5" t="s">
        <v>128</v>
      </c>
      <c r="G31" s="5" t="s">
        <v>135</v>
      </c>
      <c r="H31" s="5" t="s">
        <v>36</v>
      </c>
      <c r="I31" s="5" t="s">
        <v>60</v>
      </c>
      <c r="J31" s="5" t="s">
        <v>38</v>
      </c>
      <c r="K31" s="5"/>
      <c r="L31" s="5"/>
      <c r="M31" s="16" t="s">
        <v>27</v>
      </c>
      <c r="N31" s="16" t="s">
        <v>65</v>
      </c>
      <c r="O31" s="22" t="s">
        <v>95</v>
      </c>
    </row>
    <row r="32" spans="1:15" ht="60" x14ac:dyDescent="0.25">
      <c r="A32" s="5">
        <v>25</v>
      </c>
      <c r="B32" s="12" t="s">
        <v>132</v>
      </c>
      <c r="C32" s="5" t="s">
        <v>133</v>
      </c>
      <c r="D32" s="16" t="s">
        <v>134</v>
      </c>
      <c r="E32" s="5" t="s">
        <v>98</v>
      </c>
      <c r="F32" s="5" t="s">
        <v>128</v>
      </c>
      <c r="G32" s="5" t="s">
        <v>135</v>
      </c>
      <c r="H32" s="5" t="s">
        <v>36</v>
      </c>
      <c r="I32" s="5" t="s">
        <v>37</v>
      </c>
      <c r="J32" s="5" t="s">
        <v>38</v>
      </c>
      <c r="K32" s="5"/>
      <c r="L32" s="5"/>
      <c r="M32" s="16" t="s">
        <v>27</v>
      </c>
      <c r="N32" s="16" t="s">
        <v>65</v>
      </c>
      <c r="O32" s="22" t="s">
        <v>95</v>
      </c>
    </row>
    <row r="33" spans="1:15" x14ac:dyDescent="0.25">
      <c r="A33" s="5">
        <v>26</v>
      </c>
      <c r="B33" s="12" t="s">
        <v>108</v>
      </c>
      <c r="C33" s="5" t="s">
        <v>109</v>
      </c>
      <c r="D33" s="16" t="s">
        <v>21</v>
      </c>
      <c r="E33" s="5" t="s">
        <v>98</v>
      </c>
      <c r="F33" s="5" t="s">
        <v>103</v>
      </c>
      <c r="G33" s="5" t="s">
        <v>35</v>
      </c>
      <c r="H33" s="5" t="s">
        <v>36</v>
      </c>
      <c r="I33" s="5" t="s">
        <v>60</v>
      </c>
      <c r="J33" s="5" t="s">
        <v>55</v>
      </c>
      <c r="K33" s="5">
        <v>45636</v>
      </c>
      <c r="L33" s="5"/>
      <c r="M33" s="16" t="s">
        <v>27</v>
      </c>
      <c r="N33" s="16" t="s">
        <v>65</v>
      </c>
      <c r="O33" s="22" t="s">
        <v>95</v>
      </c>
    </row>
    <row r="34" spans="1:15" ht="30" x14ac:dyDescent="0.25">
      <c r="A34" s="5">
        <v>27</v>
      </c>
      <c r="B34" s="12" t="s">
        <v>139</v>
      </c>
      <c r="C34" s="5" t="s">
        <v>140</v>
      </c>
      <c r="D34" s="16" t="s">
        <v>141</v>
      </c>
      <c r="E34" s="5" t="s">
        <v>98</v>
      </c>
      <c r="F34" s="5" t="s">
        <v>128</v>
      </c>
      <c r="G34" s="5" t="s">
        <v>35</v>
      </c>
      <c r="H34" s="5" t="s">
        <v>36</v>
      </c>
      <c r="I34" s="5" t="s">
        <v>37</v>
      </c>
      <c r="J34" s="5" t="s">
        <v>38</v>
      </c>
      <c r="K34" s="5"/>
      <c r="L34" s="5"/>
      <c r="M34" s="16" t="s">
        <v>27</v>
      </c>
      <c r="N34" s="16" t="s">
        <v>65</v>
      </c>
      <c r="O34" s="22" t="s">
        <v>95</v>
      </c>
    </row>
    <row r="35" spans="1:15" ht="30" x14ac:dyDescent="0.25">
      <c r="A35" s="5">
        <v>28</v>
      </c>
      <c r="B35" s="12" t="s">
        <v>136</v>
      </c>
      <c r="C35" s="5" t="s">
        <v>137</v>
      </c>
      <c r="D35" s="16" t="s">
        <v>138</v>
      </c>
      <c r="E35" s="5" t="s">
        <v>98</v>
      </c>
      <c r="F35" s="5" t="s">
        <v>128</v>
      </c>
      <c r="G35" s="5" t="s">
        <v>35</v>
      </c>
      <c r="H35" s="5" t="s">
        <v>36</v>
      </c>
      <c r="I35" s="5" t="s">
        <v>37</v>
      </c>
      <c r="J35" s="5" t="s">
        <v>38</v>
      </c>
      <c r="K35" s="5"/>
      <c r="L35" s="5"/>
      <c r="M35" s="16" t="s">
        <v>27</v>
      </c>
      <c r="N35" s="16" t="s">
        <v>65</v>
      </c>
      <c r="O35" s="22" t="s">
        <v>95</v>
      </c>
    </row>
    <row r="36" spans="1:15" ht="30" x14ac:dyDescent="0.25">
      <c r="A36" s="5">
        <v>29</v>
      </c>
      <c r="B36" s="12" t="s">
        <v>142</v>
      </c>
      <c r="C36" s="5" t="s">
        <v>143</v>
      </c>
      <c r="D36" s="18" t="s">
        <v>144</v>
      </c>
      <c r="E36" s="5" t="s">
        <v>98</v>
      </c>
      <c r="F36" s="5" t="s">
        <v>128</v>
      </c>
      <c r="G36" s="5" t="s">
        <v>86</v>
      </c>
      <c r="H36" s="5" t="s">
        <v>25</v>
      </c>
      <c r="I36" s="5" t="s">
        <v>37</v>
      </c>
      <c r="J36" s="5" t="s">
        <v>38</v>
      </c>
      <c r="K36" s="5"/>
      <c r="L36" s="5"/>
      <c r="M36" s="16" t="s">
        <v>27</v>
      </c>
      <c r="N36" s="16" t="s">
        <v>65</v>
      </c>
      <c r="O36" s="22" t="s">
        <v>54</v>
      </c>
    </row>
    <row r="37" spans="1:15" x14ac:dyDescent="0.25">
      <c r="A37" s="5">
        <v>30</v>
      </c>
      <c r="B37" s="12" t="s">
        <v>122</v>
      </c>
      <c r="C37" s="5" t="s">
        <v>123</v>
      </c>
      <c r="D37" s="16" t="s">
        <v>21</v>
      </c>
      <c r="E37" s="5" t="s">
        <v>98</v>
      </c>
      <c r="F37" s="5" t="s">
        <v>124</v>
      </c>
      <c r="G37" s="5" t="s">
        <v>44</v>
      </c>
      <c r="H37" s="5" t="s">
        <v>36</v>
      </c>
      <c r="I37" s="5" t="s">
        <v>60</v>
      </c>
      <c r="J37" s="5" t="s">
        <v>55</v>
      </c>
      <c r="K37" s="5">
        <v>45636</v>
      </c>
      <c r="L37" s="5"/>
      <c r="M37" s="16" t="s">
        <v>27</v>
      </c>
      <c r="N37" s="16" t="s">
        <v>65</v>
      </c>
      <c r="O37" s="22" t="s">
        <v>95</v>
      </c>
    </row>
    <row r="38" spans="1:15" ht="27.75" customHeight="1" x14ac:dyDescent="0.25">
      <c r="A38" s="5">
        <v>31</v>
      </c>
      <c r="B38" s="12" t="s">
        <v>315</v>
      </c>
      <c r="C38" s="12" t="s">
        <v>160</v>
      </c>
      <c r="D38" s="16" t="s">
        <v>134</v>
      </c>
      <c r="E38" s="5" t="s">
        <v>98</v>
      </c>
      <c r="F38" s="5" t="s">
        <v>128</v>
      </c>
      <c r="G38" s="5" t="s">
        <v>86</v>
      </c>
      <c r="H38" s="5" t="s">
        <v>36</v>
      </c>
      <c r="I38" s="5" t="s">
        <v>60</v>
      </c>
      <c r="J38" s="5" t="s">
        <v>38</v>
      </c>
      <c r="K38" s="5"/>
      <c r="L38" s="5"/>
      <c r="M38" s="16" t="s">
        <v>27</v>
      </c>
      <c r="N38" s="16" t="s">
        <v>65</v>
      </c>
      <c r="O38" s="22" t="s">
        <v>95</v>
      </c>
    </row>
    <row r="39" spans="1:15" hidden="1" x14ac:dyDescent="0.25">
      <c r="A39" s="5">
        <v>32</v>
      </c>
      <c r="B39" s="12" t="s">
        <v>84</v>
      </c>
      <c r="C39" s="5" t="s">
        <v>85</v>
      </c>
      <c r="D39" s="16" t="s">
        <v>21</v>
      </c>
      <c r="E39" s="5" t="s">
        <v>79</v>
      </c>
      <c r="F39" s="5" t="s">
        <v>80</v>
      </c>
      <c r="G39" s="5" t="s">
        <v>86</v>
      </c>
      <c r="H39" s="5" t="s">
        <v>81</v>
      </c>
      <c r="I39" s="5" t="s">
        <v>76</v>
      </c>
      <c r="J39" s="5" t="s">
        <v>55</v>
      </c>
      <c r="K39" s="5">
        <v>45474</v>
      </c>
      <c r="L39" s="5" t="s">
        <v>87</v>
      </c>
      <c r="M39" s="16" t="s">
        <v>65</v>
      </c>
      <c r="N39" s="16" t="s">
        <v>65</v>
      </c>
      <c r="O39" s="22" t="s">
        <v>83</v>
      </c>
    </row>
    <row r="40" spans="1:15" hidden="1" x14ac:dyDescent="0.25">
      <c r="A40" s="5">
        <v>33</v>
      </c>
      <c r="B40" s="12" t="s">
        <v>84</v>
      </c>
      <c r="C40" s="5" t="s">
        <v>85</v>
      </c>
      <c r="D40" s="16" t="s">
        <v>21</v>
      </c>
      <c r="E40" s="5" t="s">
        <v>79</v>
      </c>
      <c r="F40" s="5" t="s">
        <v>80</v>
      </c>
      <c r="G40" s="5" t="s">
        <v>86</v>
      </c>
      <c r="H40" s="5" t="s">
        <v>81</v>
      </c>
      <c r="I40" s="5" t="s">
        <v>76</v>
      </c>
      <c r="J40" s="5" t="s">
        <v>55</v>
      </c>
      <c r="K40" s="5">
        <v>45474</v>
      </c>
      <c r="L40" s="5" t="s">
        <v>87</v>
      </c>
      <c r="M40" s="16" t="s">
        <v>65</v>
      </c>
      <c r="N40" s="16" t="s">
        <v>65</v>
      </c>
      <c r="O40" s="22" t="s">
        <v>83</v>
      </c>
    </row>
    <row r="41" spans="1:15" hidden="1" x14ac:dyDescent="0.25">
      <c r="A41" s="5">
        <v>34</v>
      </c>
      <c r="B41" s="12" t="s">
        <v>161</v>
      </c>
      <c r="C41" s="5" t="s">
        <v>161</v>
      </c>
      <c r="D41" s="16" t="s">
        <v>21</v>
      </c>
      <c r="E41" s="5" t="s">
        <v>79</v>
      </c>
      <c r="F41" s="5" t="s">
        <v>80</v>
      </c>
      <c r="G41" s="5" t="s">
        <v>35</v>
      </c>
      <c r="H41" s="5" t="s">
        <v>81</v>
      </c>
      <c r="I41" s="5" t="s">
        <v>76</v>
      </c>
      <c r="J41" s="5" t="s">
        <v>55</v>
      </c>
      <c r="K41" s="5">
        <v>45413</v>
      </c>
      <c r="L41" s="5" t="s">
        <v>162</v>
      </c>
      <c r="M41" s="16" t="s">
        <v>65</v>
      </c>
      <c r="N41" s="16" t="s">
        <v>65</v>
      </c>
      <c r="O41" s="22" t="s">
        <v>95</v>
      </c>
    </row>
    <row r="42" spans="1:15" hidden="1" x14ac:dyDescent="0.25">
      <c r="A42" s="5">
        <v>35</v>
      </c>
      <c r="B42" s="12" t="s">
        <v>88</v>
      </c>
      <c r="C42" s="5" t="s">
        <v>89</v>
      </c>
      <c r="D42" s="16" t="s">
        <v>21</v>
      </c>
      <c r="E42" s="5" t="s">
        <v>79</v>
      </c>
      <c r="F42" s="5" t="s">
        <v>80</v>
      </c>
      <c r="G42" s="5" t="s">
        <v>90</v>
      </c>
      <c r="H42" s="5" t="s">
        <v>81</v>
      </c>
      <c r="I42" s="5" t="s">
        <v>76</v>
      </c>
      <c r="J42" s="5" t="s">
        <v>55</v>
      </c>
      <c r="K42" s="5">
        <v>45474</v>
      </c>
      <c r="L42" s="5" t="s">
        <v>91</v>
      </c>
      <c r="M42" s="16" t="s">
        <v>65</v>
      </c>
      <c r="N42" s="16" t="s">
        <v>65</v>
      </c>
      <c r="O42" s="22" t="s">
        <v>83</v>
      </c>
    </row>
    <row r="43" spans="1:15" hidden="1" x14ac:dyDescent="0.25">
      <c r="A43" s="5">
        <v>36</v>
      </c>
      <c r="B43" s="12" t="s">
        <v>88</v>
      </c>
      <c r="C43" s="5" t="s">
        <v>89</v>
      </c>
      <c r="D43" s="16" t="s">
        <v>21</v>
      </c>
      <c r="E43" s="5" t="s">
        <v>79</v>
      </c>
      <c r="F43" s="5" t="s">
        <v>80</v>
      </c>
      <c r="G43" s="5" t="s">
        <v>90</v>
      </c>
      <c r="H43" s="5" t="s">
        <v>81</v>
      </c>
      <c r="I43" s="5" t="s">
        <v>76</v>
      </c>
      <c r="J43" s="5" t="s">
        <v>55</v>
      </c>
      <c r="K43" s="5">
        <v>45474</v>
      </c>
      <c r="L43" s="5" t="s">
        <v>91</v>
      </c>
      <c r="M43" s="16" t="s">
        <v>65</v>
      </c>
      <c r="N43" s="16" t="s">
        <v>65</v>
      </c>
      <c r="O43" s="22" t="s">
        <v>83</v>
      </c>
    </row>
    <row r="44" spans="1:15" hidden="1" x14ac:dyDescent="0.25">
      <c r="A44" s="5">
        <v>37</v>
      </c>
      <c r="B44" s="12" t="s">
        <v>92</v>
      </c>
      <c r="C44" s="5" t="s">
        <v>93</v>
      </c>
      <c r="D44" s="16" t="s">
        <v>21</v>
      </c>
      <c r="E44" s="5" t="s">
        <v>79</v>
      </c>
      <c r="F44" s="5" t="s">
        <v>80</v>
      </c>
      <c r="G44" s="5" t="s">
        <v>90</v>
      </c>
      <c r="H44" s="5" t="s">
        <v>81</v>
      </c>
      <c r="I44" s="5" t="s">
        <v>76</v>
      </c>
      <c r="J44" s="5" t="s">
        <v>55</v>
      </c>
      <c r="K44" s="5">
        <v>45474</v>
      </c>
      <c r="L44" s="5" t="s">
        <v>94</v>
      </c>
      <c r="M44" s="16" t="s">
        <v>65</v>
      </c>
      <c r="N44" s="16" t="s">
        <v>65</v>
      </c>
      <c r="O44" s="22" t="s">
        <v>95</v>
      </c>
    </row>
    <row r="45" spans="1:15" hidden="1" x14ac:dyDescent="0.25">
      <c r="A45" s="5">
        <v>38</v>
      </c>
      <c r="B45" s="12" t="s">
        <v>92</v>
      </c>
      <c r="C45" s="5" t="s">
        <v>93</v>
      </c>
      <c r="D45" s="16" t="s">
        <v>21</v>
      </c>
      <c r="E45" s="5" t="s">
        <v>79</v>
      </c>
      <c r="F45" s="5" t="s">
        <v>80</v>
      </c>
      <c r="G45" s="5" t="s">
        <v>90</v>
      </c>
      <c r="H45" s="5" t="s">
        <v>81</v>
      </c>
      <c r="I45" s="5" t="s">
        <v>76</v>
      </c>
      <c r="J45" s="5" t="s">
        <v>55</v>
      </c>
      <c r="K45" s="5">
        <v>45474</v>
      </c>
      <c r="L45" s="5" t="s">
        <v>94</v>
      </c>
      <c r="M45" s="16" t="s">
        <v>65</v>
      </c>
      <c r="N45" s="16" t="s">
        <v>65</v>
      </c>
      <c r="O45" s="22" t="s">
        <v>95</v>
      </c>
    </row>
    <row r="46" spans="1:15" hidden="1" x14ac:dyDescent="0.25">
      <c r="A46" s="5">
        <v>39</v>
      </c>
      <c r="B46" s="12" t="s">
        <v>77</v>
      </c>
      <c r="C46" s="5" t="s">
        <v>78</v>
      </c>
      <c r="D46" s="16" t="s">
        <v>21</v>
      </c>
      <c r="E46" s="5" t="s">
        <v>79</v>
      </c>
      <c r="F46" s="5" t="s">
        <v>80</v>
      </c>
      <c r="G46" s="5" t="s">
        <v>35</v>
      </c>
      <c r="H46" s="5" t="s">
        <v>81</v>
      </c>
      <c r="I46" s="5" t="s">
        <v>76</v>
      </c>
      <c r="J46" s="5" t="s">
        <v>55</v>
      </c>
      <c r="K46" s="5">
        <v>45261</v>
      </c>
      <c r="L46" s="5" t="s">
        <v>82</v>
      </c>
      <c r="M46" s="16" t="s">
        <v>65</v>
      </c>
      <c r="N46" s="16" t="s">
        <v>65</v>
      </c>
      <c r="O46" s="22" t="s">
        <v>83</v>
      </c>
    </row>
    <row r="47" spans="1:15" hidden="1" x14ac:dyDescent="0.25">
      <c r="A47" s="5">
        <v>40</v>
      </c>
      <c r="B47" s="12" t="s">
        <v>77</v>
      </c>
      <c r="C47" s="5" t="s">
        <v>78</v>
      </c>
      <c r="D47" s="16" t="s">
        <v>21</v>
      </c>
      <c r="E47" s="5" t="s">
        <v>79</v>
      </c>
      <c r="F47" s="5" t="s">
        <v>80</v>
      </c>
      <c r="G47" s="5" t="s">
        <v>35</v>
      </c>
      <c r="H47" s="5" t="s">
        <v>81</v>
      </c>
      <c r="I47" s="5" t="s">
        <v>76</v>
      </c>
      <c r="J47" s="5" t="s">
        <v>55</v>
      </c>
      <c r="K47" s="5">
        <v>45261</v>
      </c>
      <c r="L47" s="5" t="s">
        <v>82</v>
      </c>
      <c r="M47" s="16" t="s">
        <v>65</v>
      </c>
      <c r="N47" s="16" t="s">
        <v>65</v>
      </c>
      <c r="O47" s="22" t="s">
        <v>83</v>
      </c>
    </row>
    <row r="48" spans="1:15" hidden="1" x14ac:dyDescent="0.25">
      <c r="A48" s="5">
        <v>41</v>
      </c>
      <c r="B48" s="12" t="s">
        <v>58</v>
      </c>
      <c r="C48" s="5" t="s">
        <v>59</v>
      </c>
      <c r="D48" s="16" t="s">
        <v>21</v>
      </c>
      <c r="E48" s="5" t="s">
        <v>180</v>
      </c>
      <c r="F48" s="5"/>
      <c r="G48" s="5" t="s">
        <v>44</v>
      </c>
      <c r="H48" s="5" t="s">
        <v>36</v>
      </c>
      <c r="I48" s="5" t="s">
        <v>60</v>
      </c>
      <c r="J48" s="5" t="s">
        <v>55</v>
      </c>
      <c r="K48" s="5"/>
      <c r="L48" s="5"/>
      <c r="M48" s="16"/>
      <c r="N48" s="16"/>
      <c r="O48" s="22"/>
    </row>
    <row r="49" spans="1:15" hidden="1" x14ac:dyDescent="0.25">
      <c r="A49" s="5">
        <v>42</v>
      </c>
      <c r="B49" s="12" t="s">
        <v>30</v>
      </c>
      <c r="C49" s="5" t="s">
        <v>31</v>
      </c>
      <c r="D49" s="16" t="s">
        <v>32</v>
      </c>
      <c r="E49" s="5" t="s">
        <v>33</v>
      </c>
      <c r="F49" s="5" t="s">
        <v>34</v>
      </c>
      <c r="G49" s="5" t="s">
        <v>35</v>
      </c>
      <c r="H49" s="5" t="s">
        <v>36</v>
      </c>
      <c r="I49" s="5" t="s">
        <v>37</v>
      </c>
      <c r="J49" s="5" t="s">
        <v>38</v>
      </c>
      <c r="K49" s="5"/>
      <c r="L49" s="5"/>
      <c r="M49" s="16"/>
      <c r="N49" s="16"/>
      <c r="O49" s="22" t="s">
        <v>39</v>
      </c>
    </row>
    <row r="50" spans="1:15" hidden="1" x14ac:dyDescent="0.25">
      <c r="A50" s="5">
        <v>43</v>
      </c>
      <c r="B50" s="12" t="s">
        <v>46</v>
      </c>
      <c r="C50" s="5" t="s">
        <v>47</v>
      </c>
      <c r="D50" s="16" t="s">
        <v>48</v>
      </c>
      <c r="E50" s="5" t="s">
        <v>33</v>
      </c>
      <c r="F50" s="5" t="s">
        <v>34</v>
      </c>
      <c r="G50" s="5" t="s">
        <v>49</v>
      </c>
      <c r="H50" s="5" t="s">
        <v>36</v>
      </c>
      <c r="I50" s="5" t="s">
        <v>37</v>
      </c>
      <c r="J50" s="5" t="s">
        <v>38</v>
      </c>
      <c r="K50" s="5"/>
      <c r="L50" s="5"/>
      <c r="M50" s="16"/>
      <c r="N50" s="16"/>
      <c r="O50" s="22" t="s">
        <v>50</v>
      </c>
    </row>
    <row r="51" spans="1:15" hidden="1" x14ac:dyDescent="0.25">
      <c r="A51" s="5">
        <v>44</v>
      </c>
      <c r="B51" s="12" t="s">
        <v>51</v>
      </c>
      <c r="C51" s="5" t="s">
        <v>52</v>
      </c>
      <c r="D51" s="16" t="s">
        <v>53</v>
      </c>
      <c r="E51" s="5" t="s">
        <v>33</v>
      </c>
      <c r="F51" s="5" t="s">
        <v>34</v>
      </c>
      <c r="G51" s="5" t="s">
        <v>35</v>
      </c>
      <c r="H51" s="5" t="s">
        <v>36</v>
      </c>
      <c r="I51" s="5" t="s">
        <v>37</v>
      </c>
      <c r="J51" s="5" t="s">
        <v>38</v>
      </c>
      <c r="K51" s="5"/>
      <c r="L51" s="5"/>
      <c r="M51" s="16"/>
      <c r="N51" s="16"/>
      <c r="O51" s="22" t="s">
        <v>54</v>
      </c>
    </row>
    <row r="52" spans="1:15" hidden="1" x14ac:dyDescent="0.25">
      <c r="A52" s="5">
        <v>45</v>
      </c>
      <c r="B52" s="12" t="s">
        <v>281</v>
      </c>
      <c r="C52" s="8" t="s">
        <v>282</v>
      </c>
      <c r="D52" s="9" t="s">
        <v>21</v>
      </c>
      <c r="E52" s="8" t="s">
        <v>279</v>
      </c>
      <c r="F52" s="8" t="s">
        <v>283</v>
      </c>
      <c r="G52" s="10" t="s">
        <v>69</v>
      </c>
      <c r="H52" s="8" t="s">
        <v>25</v>
      </c>
      <c r="I52" s="8" t="s">
        <v>275</v>
      </c>
      <c r="J52" s="8" t="s">
        <v>55</v>
      </c>
      <c r="K52" s="11"/>
      <c r="L52" s="8"/>
      <c r="M52" s="9" t="s">
        <v>27</v>
      </c>
      <c r="N52" s="9"/>
      <c r="O52" s="23" t="s">
        <v>50</v>
      </c>
    </row>
    <row r="53" spans="1:15" hidden="1" x14ac:dyDescent="0.25">
      <c r="A53" s="5">
        <v>46</v>
      </c>
      <c r="B53" s="12" t="s">
        <v>284</v>
      </c>
      <c r="C53" s="8" t="s">
        <v>285</v>
      </c>
      <c r="D53" s="9" t="s">
        <v>21</v>
      </c>
      <c r="E53" s="8" t="s">
        <v>279</v>
      </c>
      <c r="F53" s="8" t="s">
        <v>280</v>
      </c>
      <c r="G53" s="10" t="s">
        <v>69</v>
      </c>
      <c r="H53" s="8" t="s">
        <v>36</v>
      </c>
      <c r="I53" s="8" t="s">
        <v>275</v>
      </c>
      <c r="J53" s="8" t="s">
        <v>38</v>
      </c>
      <c r="K53" s="11"/>
      <c r="L53" s="8"/>
      <c r="M53" s="9" t="s">
        <v>27</v>
      </c>
      <c r="N53" s="9" t="s">
        <v>65</v>
      </c>
      <c r="O53" s="23" t="s">
        <v>95</v>
      </c>
    </row>
    <row r="54" spans="1:15" hidden="1" x14ac:dyDescent="0.25">
      <c r="A54" s="5">
        <v>47</v>
      </c>
      <c r="B54" s="12" t="s">
        <v>277</v>
      </c>
      <c r="C54" s="8" t="s">
        <v>278</v>
      </c>
      <c r="D54" s="9" t="s">
        <v>21</v>
      </c>
      <c r="E54" s="8" t="s">
        <v>279</v>
      </c>
      <c r="F54" s="8" t="s">
        <v>280</v>
      </c>
      <c r="G54" s="10" t="s">
        <v>24</v>
      </c>
      <c r="H54" s="8" t="s">
        <v>25</v>
      </c>
      <c r="I54" s="8" t="s">
        <v>275</v>
      </c>
      <c r="J54" s="8" t="s">
        <v>55</v>
      </c>
      <c r="K54" s="11"/>
      <c r="L54" s="8"/>
      <c r="M54" s="9" t="s">
        <v>27</v>
      </c>
      <c r="N54" s="9"/>
      <c r="O54" s="23" t="s">
        <v>50</v>
      </c>
    </row>
    <row r="55" spans="1:15" hidden="1" x14ac:dyDescent="0.25">
      <c r="A55" s="5">
        <v>48</v>
      </c>
      <c r="B55" s="12" t="s">
        <v>271</v>
      </c>
      <c r="C55" s="8" t="s">
        <v>272</v>
      </c>
      <c r="D55" s="9" t="s">
        <v>21</v>
      </c>
      <c r="E55" s="8" t="s">
        <v>273</v>
      </c>
      <c r="F55" s="8" t="s">
        <v>274</v>
      </c>
      <c r="G55" s="10" t="s">
        <v>49</v>
      </c>
      <c r="H55" s="8" t="s">
        <v>36</v>
      </c>
      <c r="I55" s="8" t="s">
        <v>275</v>
      </c>
      <c r="J55" s="8" t="s">
        <v>55</v>
      </c>
      <c r="K55" s="11"/>
      <c r="L55" s="8"/>
      <c r="M55" s="9" t="s">
        <v>276</v>
      </c>
      <c r="N55" s="13" t="s">
        <v>65</v>
      </c>
      <c r="O55" s="23" t="s">
        <v>39</v>
      </c>
    </row>
    <row r="56" spans="1:15" hidden="1" x14ac:dyDescent="0.25">
      <c r="A56" s="5">
        <v>49</v>
      </c>
      <c r="B56" s="12" t="s">
        <v>72</v>
      </c>
      <c r="C56" s="5" t="s">
        <v>73</v>
      </c>
      <c r="D56" s="16" t="s">
        <v>21</v>
      </c>
      <c r="E56" s="5" t="s">
        <v>74</v>
      </c>
      <c r="F56" s="5" t="s">
        <v>75</v>
      </c>
      <c r="G56" s="5" t="s">
        <v>69</v>
      </c>
      <c r="H56" s="5" t="s">
        <v>36</v>
      </c>
      <c r="I56" s="5" t="s">
        <v>76</v>
      </c>
      <c r="J56" s="5" t="s">
        <v>55</v>
      </c>
      <c r="K56" s="5">
        <v>45538</v>
      </c>
      <c r="L56" s="5"/>
      <c r="M56" s="16" t="s">
        <v>27</v>
      </c>
      <c r="N56" s="16" t="s">
        <v>28</v>
      </c>
      <c r="O56" s="22" t="s">
        <v>50</v>
      </c>
    </row>
    <row r="57" spans="1:15" hidden="1" x14ac:dyDescent="0.25">
      <c r="A57" s="5">
        <v>50</v>
      </c>
      <c r="B57" s="12" t="s">
        <v>308</v>
      </c>
      <c r="C57" s="5" t="s">
        <v>219</v>
      </c>
      <c r="D57" s="16" t="s">
        <v>185</v>
      </c>
      <c r="E57" s="5" t="s">
        <v>186</v>
      </c>
      <c r="F57" s="5" t="s">
        <v>220</v>
      </c>
      <c r="G57" s="5" t="s">
        <v>86</v>
      </c>
      <c r="H57" s="5" t="s">
        <v>25</v>
      </c>
      <c r="I57" s="5" t="s">
        <v>275</v>
      </c>
      <c r="J57" s="5" t="s">
        <v>55</v>
      </c>
      <c r="K57" s="16" t="s">
        <v>305</v>
      </c>
      <c r="L57" s="5"/>
      <c r="M57" s="16" t="s">
        <v>27</v>
      </c>
      <c r="N57" s="16" t="s">
        <v>65</v>
      </c>
      <c r="O57" s="22" t="s">
        <v>83</v>
      </c>
    </row>
    <row r="58" spans="1:15" hidden="1" x14ac:dyDescent="0.25">
      <c r="A58" s="5">
        <v>51</v>
      </c>
      <c r="B58" s="12" t="s">
        <v>309</v>
      </c>
      <c r="C58" s="5" t="s">
        <v>253</v>
      </c>
      <c r="D58" s="16" t="s">
        <v>185</v>
      </c>
      <c r="E58" s="5" t="s">
        <v>186</v>
      </c>
      <c r="F58" s="5" t="s">
        <v>249</v>
      </c>
      <c r="G58" s="5"/>
      <c r="H58" s="5" t="s">
        <v>25</v>
      </c>
      <c r="I58" s="5" t="s">
        <v>37</v>
      </c>
      <c r="J58" s="5" t="s">
        <v>55</v>
      </c>
      <c r="K58" s="16">
        <v>2024</v>
      </c>
      <c r="L58" s="5"/>
      <c r="M58" s="16" t="s">
        <v>27</v>
      </c>
      <c r="N58" s="16" t="s">
        <v>65</v>
      </c>
      <c r="O58" s="22" t="s">
        <v>83</v>
      </c>
    </row>
    <row r="59" spans="1:15" ht="30" hidden="1" x14ac:dyDescent="0.25">
      <c r="A59" s="5">
        <v>52</v>
      </c>
      <c r="B59" s="12" t="s">
        <v>247</v>
      </c>
      <c r="C59" s="12" t="s">
        <v>248</v>
      </c>
      <c r="D59" s="16" t="s">
        <v>185</v>
      </c>
      <c r="E59" s="5" t="s">
        <v>186</v>
      </c>
      <c r="F59" s="5" t="s">
        <v>249</v>
      </c>
      <c r="G59" s="5"/>
      <c r="H59" s="5" t="s">
        <v>25</v>
      </c>
      <c r="I59" s="5" t="s">
        <v>37</v>
      </c>
      <c r="J59" s="5" t="s">
        <v>55</v>
      </c>
      <c r="K59" s="16">
        <v>2017</v>
      </c>
      <c r="L59" s="5" t="s">
        <v>306</v>
      </c>
      <c r="M59" s="16" t="s">
        <v>250</v>
      </c>
      <c r="N59" s="16" t="s">
        <v>65</v>
      </c>
      <c r="O59" s="22" t="s">
        <v>29</v>
      </c>
    </row>
    <row r="60" spans="1:15" hidden="1" x14ac:dyDescent="0.25">
      <c r="A60" s="5">
        <v>53</v>
      </c>
      <c r="B60" s="12" t="s">
        <v>251</v>
      </c>
      <c r="C60" s="5" t="s">
        <v>252</v>
      </c>
      <c r="D60" s="16" t="s">
        <v>185</v>
      </c>
      <c r="E60" s="5" t="s">
        <v>186</v>
      </c>
      <c r="F60" s="5" t="s">
        <v>249</v>
      </c>
      <c r="G60" s="5"/>
      <c r="H60" s="5" t="s">
        <v>25</v>
      </c>
      <c r="I60" s="5" t="s">
        <v>37</v>
      </c>
      <c r="J60" s="5" t="s">
        <v>55</v>
      </c>
      <c r="K60" s="16">
        <v>2016</v>
      </c>
      <c r="L60" s="5"/>
      <c r="M60" s="16" t="s">
        <v>250</v>
      </c>
      <c r="N60" s="16" t="s">
        <v>65</v>
      </c>
      <c r="O60" s="22" t="s">
        <v>29</v>
      </c>
    </row>
    <row r="61" spans="1:15" hidden="1" x14ac:dyDescent="0.25">
      <c r="A61" s="5">
        <v>54</v>
      </c>
      <c r="B61" s="12" t="s">
        <v>213</v>
      </c>
      <c r="C61" s="5" t="s">
        <v>214</v>
      </c>
      <c r="D61" s="16" t="s">
        <v>185</v>
      </c>
      <c r="E61" s="5" t="s">
        <v>186</v>
      </c>
      <c r="F61" s="5" t="s">
        <v>187</v>
      </c>
      <c r="G61" s="7" t="s">
        <v>304</v>
      </c>
      <c r="H61" s="5" t="s">
        <v>25</v>
      </c>
      <c r="I61" s="5" t="s">
        <v>37</v>
      </c>
      <c r="J61" s="5" t="s">
        <v>55</v>
      </c>
      <c r="K61" s="16">
        <v>2021</v>
      </c>
      <c r="L61" s="5"/>
      <c r="M61" s="16" t="s">
        <v>27</v>
      </c>
      <c r="N61" s="16" t="s">
        <v>65</v>
      </c>
      <c r="O61" s="22" t="s">
        <v>29</v>
      </c>
    </row>
    <row r="62" spans="1:15" hidden="1" x14ac:dyDescent="0.25">
      <c r="A62" s="5">
        <v>55</v>
      </c>
      <c r="B62" s="12" t="s">
        <v>209</v>
      </c>
      <c r="C62" s="7" t="s">
        <v>210</v>
      </c>
      <c r="D62" s="16" t="s">
        <v>185</v>
      </c>
      <c r="E62" s="5" t="s">
        <v>186</v>
      </c>
      <c r="F62" s="5" t="s">
        <v>187</v>
      </c>
      <c r="G62" s="7" t="s">
        <v>44</v>
      </c>
      <c r="H62" s="5" t="s">
        <v>36</v>
      </c>
      <c r="I62" s="5" t="s">
        <v>275</v>
      </c>
      <c r="J62" s="5" t="s">
        <v>55</v>
      </c>
      <c r="K62" s="19">
        <v>45689</v>
      </c>
      <c r="L62" s="5" t="s">
        <v>188</v>
      </c>
      <c r="M62" s="16" t="s">
        <v>27</v>
      </c>
      <c r="N62" s="16" t="s">
        <v>65</v>
      </c>
      <c r="O62" s="22" t="s">
        <v>83</v>
      </c>
    </row>
    <row r="63" spans="1:15" hidden="1" x14ac:dyDescent="0.25">
      <c r="A63" s="5">
        <v>56</v>
      </c>
      <c r="B63" s="12" t="s">
        <v>207</v>
      </c>
      <c r="C63" s="7" t="s">
        <v>208</v>
      </c>
      <c r="D63" s="16" t="s">
        <v>185</v>
      </c>
      <c r="E63" s="5" t="s">
        <v>186</v>
      </c>
      <c r="F63" s="5" t="s">
        <v>187</v>
      </c>
      <c r="G63" s="7" t="s">
        <v>44</v>
      </c>
      <c r="H63" s="5" t="s">
        <v>36</v>
      </c>
      <c r="I63" s="5" t="s">
        <v>275</v>
      </c>
      <c r="J63" s="5" t="s">
        <v>55</v>
      </c>
      <c r="K63" s="19">
        <v>45689</v>
      </c>
      <c r="L63" s="5" t="s">
        <v>188</v>
      </c>
      <c r="M63" s="16" t="s">
        <v>27</v>
      </c>
      <c r="N63" s="16" t="s">
        <v>65</v>
      </c>
      <c r="O63" s="22" t="s">
        <v>83</v>
      </c>
    </row>
    <row r="64" spans="1:15" ht="30" hidden="1" x14ac:dyDescent="0.25">
      <c r="A64" s="5">
        <v>57</v>
      </c>
      <c r="B64" s="12" t="s">
        <v>259</v>
      </c>
      <c r="C64" s="5" t="s">
        <v>260</v>
      </c>
      <c r="D64" s="16" t="s">
        <v>185</v>
      </c>
      <c r="E64" s="5" t="s">
        <v>186</v>
      </c>
      <c r="F64" s="5" t="s">
        <v>256</v>
      </c>
      <c r="G64" s="5" t="s">
        <v>86</v>
      </c>
      <c r="H64" s="5" t="s">
        <v>25</v>
      </c>
      <c r="I64" s="5" t="s">
        <v>307</v>
      </c>
      <c r="J64" s="5" t="s">
        <v>55</v>
      </c>
      <c r="K64" s="16" t="s">
        <v>28</v>
      </c>
      <c r="L64" s="5"/>
      <c r="M64" s="16" t="s">
        <v>27</v>
      </c>
      <c r="N64" s="16" t="s">
        <v>65</v>
      </c>
      <c r="O64" s="22" t="s">
        <v>83</v>
      </c>
    </row>
    <row r="65" spans="1:15" hidden="1" x14ac:dyDescent="0.25">
      <c r="A65" s="5">
        <v>58</v>
      </c>
      <c r="B65" s="12" t="s">
        <v>240</v>
      </c>
      <c r="C65" s="5" t="s">
        <v>241</v>
      </c>
      <c r="D65" s="16" t="s">
        <v>185</v>
      </c>
      <c r="E65" s="5" t="s">
        <v>186</v>
      </c>
      <c r="F65" s="5" t="s">
        <v>242</v>
      </c>
      <c r="G65" s="5" t="s">
        <v>44</v>
      </c>
      <c r="H65" s="5" t="s">
        <v>25</v>
      </c>
      <c r="I65" s="5" t="s">
        <v>275</v>
      </c>
      <c r="J65" s="5" t="s">
        <v>55</v>
      </c>
      <c r="K65" s="19">
        <v>45658</v>
      </c>
      <c r="L65" s="5"/>
      <c r="M65" s="16" t="s">
        <v>27</v>
      </c>
      <c r="N65" s="16" t="s">
        <v>65</v>
      </c>
      <c r="O65" s="22" t="s">
        <v>29</v>
      </c>
    </row>
    <row r="66" spans="1:15" hidden="1" x14ac:dyDescent="0.25">
      <c r="A66" s="5">
        <v>59</v>
      </c>
      <c r="B66" s="12" t="s">
        <v>257</v>
      </c>
      <c r="C66" s="5" t="s">
        <v>258</v>
      </c>
      <c r="D66" s="16" t="s">
        <v>185</v>
      </c>
      <c r="E66" s="5" t="s">
        <v>186</v>
      </c>
      <c r="F66" s="5" t="s">
        <v>256</v>
      </c>
      <c r="G66" s="5" t="s">
        <v>86</v>
      </c>
      <c r="H66" s="5" t="s">
        <v>25</v>
      </c>
      <c r="I66" s="5" t="s">
        <v>307</v>
      </c>
      <c r="J66" s="5" t="s">
        <v>55</v>
      </c>
      <c r="K66" s="16" t="s">
        <v>28</v>
      </c>
      <c r="L66" s="5"/>
      <c r="M66" s="16" t="s">
        <v>27</v>
      </c>
      <c r="N66" s="16" t="s">
        <v>65</v>
      </c>
      <c r="O66" s="22" t="s">
        <v>83</v>
      </c>
    </row>
    <row r="67" spans="1:15" hidden="1" x14ac:dyDescent="0.25">
      <c r="A67" s="5">
        <v>60</v>
      </c>
      <c r="B67" s="12" t="s">
        <v>254</v>
      </c>
      <c r="C67" s="5" t="s">
        <v>255</v>
      </c>
      <c r="D67" s="16" t="s">
        <v>185</v>
      </c>
      <c r="E67" s="5" t="s">
        <v>186</v>
      </c>
      <c r="F67" s="5" t="s">
        <v>256</v>
      </c>
      <c r="G67" s="5" t="s">
        <v>86</v>
      </c>
      <c r="H67" s="5" t="s">
        <v>25</v>
      </c>
      <c r="I67" s="5" t="s">
        <v>307</v>
      </c>
      <c r="J67" s="5" t="s">
        <v>55</v>
      </c>
      <c r="K67" s="16" t="s">
        <v>28</v>
      </c>
      <c r="L67" s="5"/>
      <c r="M67" s="16" t="s">
        <v>27</v>
      </c>
      <c r="N67" s="16" t="s">
        <v>65</v>
      </c>
      <c r="O67" s="22" t="s">
        <v>83</v>
      </c>
    </row>
    <row r="68" spans="1:15" hidden="1" x14ac:dyDescent="0.25">
      <c r="A68" s="5">
        <v>61</v>
      </c>
      <c r="B68" s="12" t="s">
        <v>189</v>
      </c>
      <c r="C68" s="5" t="s">
        <v>190</v>
      </c>
      <c r="D68" s="16" t="s">
        <v>185</v>
      </c>
      <c r="E68" s="5" t="s">
        <v>186</v>
      </c>
      <c r="F68" s="5" t="s">
        <v>187</v>
      </c>
      <c r="G68" s="7" t="s">
        <v>44</v>
      </c>
      <c r="H68" s="5" t="s">
        <v>36</v>
      </c>
      <c r="I68" s="5" t="s">
        <v>275</v>
      </c>
      <c r="J68" s="5" t="s">
        <v>55</v>
      </c>
      <c r="K68" s="19">
        <v>45689</v>
      </c>
      <c r="L68" s="5" t="s">
        <v>188</v>
      </c>
      <c r="M68" s="16" t="s">
        <v>27</v>
      </c>
      <c r="N68" s="16" t="s">
        <v>65</v>
      </c>
      <c r="O68" s="22" t="s">
        <v>83</v>
      </c>
    </row>
    <row r="69" spans="1:15" hidden="1" x14ac:dyDescent="0.25">
      <c r="A69" s="5">
        <v>62</v>
      </c>
      <c r="B69" s="12" t="s">
        <v>183</v>
      </c>
      <c r="C69" s="5" t="s">
        <v>184</v>
      </c>
      <c r="D69" s="16" t="s">
        <v>185</v>
      </c>
      <c r="E69" s="5" t="s">
        <v>186</v>
      </c>
      <c r="F69" s="5" t="s">
        <v>187</v>
      </c>
      <c r="G69" s="7" t="s">
        <v>44</v>
      </c>
      <c r="H69" s="5" t="s">
        <v>36</v>
      </c>
      <c r="I69" s="5" t="s">
        <v>275</v>
      </c>
      <c r="J69" s="5" t="s">
        <v>55</v>
      </c>
      <c r="K69" s="19">
        <v>45689</v>
      </c>
      <c r="L69" s="5" t="s">
        <v>188</v>
      </c>
      <c r="M69" s="16" t="s">
        <v>27</v>
      </c>
      <c r="N69" s="16" t="s">
        <v>65</v>
      </c>
      <c r="O69" s="22" t="s">
        <v>83</v>
      </c>
    </row>
    <row r="70" spans="1:15" hidden="1" x14ac:dyDescent="0.25">
      <c r="A70" s="5">
        <v>63</v>
      </c>
      <c r="B70" s="12" t="s">
        <v>243</v>
      </c>
      <c r="C70" s="5" t="s">
        <v>244</v>
      </c>
      <c r="D70" s="16" t="s">
        <v>185</v>
      </c>
      <c r="E70" s="5" t="s">
        <v>186</v>
      </c>
      <c r="F70" s="5" t="s">
        <v>242</v>
      </c>
      <c r="G70" s="5" t="s">
        <v>44</v>
      </c>
      <c r="H70" s="5" t="s">
        <v>25</v>
      </c>
      <c r="I70" s="5" t="s">
        <v>275</v>
      </c>
      <c r="J70" s="5" t="s">
        <v>55</v>
      </c>
      <c r="K70" s="19">
        <v>45658</v>
      </c>
      <c r="L70" s="5"/>
      <c r="M70" s="16" t="s">
        <v>27</v>
      </c>
      <c r="N70" s="16" t="s">
        <v>65</v>
      </c>
      <c r="O70" s="22" t="s">
        <v>29</v>
      </c>
    </row>
    <row r="71" spans="1:15" hidden="1" x14ac:dyDescent="0.25">
      <c r="A71" s="5">
        <v>64</v>
      </c>
      <c r="B71" s="12" t="s">
        <v>203</v>
      </c>
      <c r="C71" s="5" t="s">
        <v>204</v>
      </c>
      <c r="D71" s="16" t="s">
        <v>185</v>
      </c>
      <c r="E71" s="5" t="s">
        <v>186</v>
      </c>
      <c r="F71" s="5" t="s">
        <v>187</v>
      </c>
      <c r="G71" s="7" t="s">
        <v>44</v>
      </c>
      <c r="H71" s="5" t="s">
        <v>36</v>
      </c>
      <c r="I71" s="5" t="s">
        <v>275</v>
      </c>
      <c r="J71" s="5" t="s">
        <v>55</v>
      </c>
      <c r="K71" s="19">
        <v>45689</v>
      </c>
      <c r="L71" s="5" t="s">
        <v>188</v>
      </c>
      <c r="M71" s="16" t="s">
        <v>27</v>
      </c>
      <c r="N71" s="16" t="s">
        <v>65</v>
      </c>
      <c r="O71" s="22" t="s">
        <v>83</v>
      </c>
    </row>
    <row r="72" spans="1:15" hidden="1" x14ac:dyDescent="0.25">
      <c r="A72" s="5">
        <v>65</v>
      </c>
      <c r="B72" s="12" t="s">
        <v>215</v>
      </c>
      <c r="C72" s="5" t="s">
        <v>216</v>
      </c>
      <c r="D72" s="16" t="s">
        <v>185</v>
      </c>
      <c r="E72" s="5" t="s">
        <v>186</v>
      </c>
      <c r="F72" s="5" t="s">
        <v>187</v>
      </c>
      <c r="G72" s="5" t="s">
        <v>44</v>
      </c>
      <c r="H72" s="5" t="s">
        <v>25</v>
      </c>
      <c r="I72" s="5" t="s">
        <v>275</v>
      </c>
      <c r="J72" s="5" t="s">
        <v>55</v>
      </c>
      <c r="K72" s="19">
        <v>45658</v>
      </c>
      <c r="L72" s="5"/>
      <c r="M72" s="16" t="s">
        <v>27</v>
      </c>
      <c r="N72" s="16" t="s">
        <v>65</v>
      </c>
      <c r="O72" s="22" t="s">
        <v>29</v>
      </c>
    </row>
    <row r="73" spans="1:15" hidden="1" x14ac:dyDescent="0.25">
      <c r="A73" s="5">
        <v>66</v>
      </c>
      <c r="B73" s="12" t="s">
        <v>197</v>
      </c>
      <c r="C73" s="5" t="s">
        <v>198</v>
      </c>
      <c r="D73" s="16" t="s">
        <v>185</v>
      </c>
      <c r="E73" s="5" t="s">
        <v>186</v>
      </c>
      <c r="F73" s="5" t="s">
        <v>187</v>
      </c>
      <c r="G73" s="7" t="s">
        <v>44</v>
      </c>
      <c r="H73" s="5" t="s">
        <v>25</v>
      </c>
      <c r="I73" s="5" t="s">
        <v>275</v>
      </c>
      <c r="J73" s="5" t="s">
        <v>55</v>
      </c>
      <c r="K73" s="19">
        <v>45689</v>
      </c>
      <c r="L73" s="5"/>
      <c r="M73" s="16" t="s">
        <v>27</v>
      </c>
      <c r="N73" s="16" t="s">
        <v>65</v>
      </c>
      <c r="O73" s="22" t="s">
        <v>29</v>
      </c>
    </row>
    <row r="74" spans="1:15" ht="30" hidden="1" x14ac:dyDescent="0.25">
      <c r="A74" s="5">
        <v>67</v>
      </c>
      <c r="B74" s="12" t="s">
        <v>195</v>
      </c>
      <c r="C74" s="5" t="s">
        <v>196</v>
      </c>
      <c r="D74" s="16" t="s">
        <v>185</v>
      </c>
      <c r="E74" s="5" t="s">
        <v>186</v>
      </c>
      <c r="F74" s="5" t="s">
        <v>187</v>
      </c>
      <c r="G74" s="7" t="s">
        <v>44</v>
      </c>
      <c r="H74" s="5" t="s">
        <v>25</v>
      </c>
      <c r="I74" s="5" t="s">
        <v>275</v>
      </c>
      <c r="J74" s="5" t="s">
        <v>55</v>
      </c>
      <c r="K74" s="19">
        <v>45689</v>
      </c>
      <c r="L74" s="5"/>
      <c r="M74" s="16" t="s">
        <v>27</v>
      </c>
      <c r="N74" s="16" t="s">
        <v>65</v>
      </c>
      <c r="O74" s="22" t="s">
        <v>29</v>
      </c>
    </row>
    <row r="75" spans="1:15" hidden="1" x14ac:dyDescent="0.25">
      <c r="A75" s="5">
        <v>68</v>
      </c>
      <c r="B75" s="12" t="s">
        <v>211</v>
      </c>
      <c r="C75" s="5" t="s">
        <v>212</v>
      </c>
      <c r="D75" s="16" t="s">
        <v>185</v>
      </c>
      <c r="E75" s="5" t="s">
        <v>186</v>
      </c>
      <c r="F75" s="5" t="s">
        <v>187</v>
      </c>
      <c r="G75" s="7" t="s">
        <v>35</v>
      </c>
      <c r="H75" s="5" t="s">
        <v>36</v>
      </c>
      <c r="I75" s="5" t="s">
        <v>275</v>
      </c>
      <c r="J75" s="5" t="s">
        <v>55</v>
      </c>
      <c r="K75" s="19">
        <v>45627</v>
      </c>
      <c r="L75" s="5" t="s">
        <v>188</v>
      </c>
      <c r="M75" s="16" t="s">
        <v>27</v>
      </c>
      <c r="N75" s="16" t="s">
        <v>65</v>
      </c>
      <c r="O75" s="22" t="s">
        <v>83</v>
      </c>
    </row>
    <row r="76" spans="1:15" ht="30" hidden="1" x14ac:dyDescent="0.25">
      <c r="A76" s="5">
        <v>69</v>
      </c>
      <c r="B76" s="12" t="s">
        <v>193</v>
      </c>
      <c r="C76" s="5" t="s">
        <v>194</v>
      </c>
      <c r="D76" s="16" t="s">
        <v>185</v>
      </c>
      <c r="E76" s="5" t="s">
        <v>186</v>
      </c>
      <c r="F76" s="5" t="s">
        <v>187</v>
      </c>
      <c r="G76" s="7" t="s">
        <v>35</v>
      </c>
      <c r="H76" s="5" t="s">
        <v>36</v>
      </c>
      <c r="I76" s="5" t="s">
        <v>275</v>
      </c>
      <c r="J76" s="5" t="s">
        <v>55</v>
      </c>
      <c r="K76" s="19">
        <v>45627</v>
      </c>
      <c r="L76" s="5" t="s">
        <v>188</v>
      </c>
      <c r="M76" s="16" t="s">
        <v>27</v>
      </c>
      <c r="N76" s="16" t="s">
        <v>65</v>
      </c>
      <c r="O76" s="22" t="s">
        <v>83</v>
      </c>
    </row>
    <row r="77" spans="1:15" ht="30" hidden="1" x14ac:dyDescent="0.25">
      <c r="A77" s="5">
        <v>70</v>
      </c>
      <c r="B77" s="12" t="s">
        <v>191</v>
      </c>
      <c r="C77" s="5" t="s">
        <v>192</v>
      </c>
      <c r="D77" s="16" t="s">
        <v>185</v>
      </c>
      <c r="E77" s="5" t="s">
        <v>186</v>
      </c>
      <c r="F77" s="5" t="s">
        <v>187</v>
      </c>
      <c r="G77" s="7" t="s">
        <v>35</v>
      </c>
      <c r="H77" s="5" t="s">
        <v>36</v>
      </c>
      <c r="I77" s="5" t="s">
        <v>275</v>
      </c>
      <c r="J77" s="5" t="s">
        <v>55</v>
      </c>
      <c r="K77" s="19">
        <v>45627</v>
      </c>
      <c r="L77" s="5" t="s">
        <v>188</v>
      </c>
      <c r="M77" s="16" t="s">
        <v>27</v>
      </c>
      <c r="N77" s="16" t="s">
        <v>65</v>
      </c>
      <c r="O77" s="22" t="s">
        <v>83</v>
      </c>
    </row>
    <row r="78" spans="1:15" ht="30" hidden="1" x14ac:dyDescent="0.25">
      <c r="A78" s="5">
        <v>71</v>
      </c>
      <c r="B78" s="12" t="s">
        <v>205</v>
      </c>
      <c r="C78" s="5" t="s">
        <v>206</v>
      </c>
      <c r="D78" s="16" t="s">
        <v>185</v>
      </c>
      <c r="E78" s="5" t="s">
        <v>186</v>
      </c>
      <c r="F78" s="5" t="s">
        <v>187</v>
      </c>
      <c r="G78" s="7" t="s">
        <v>35</v>
      </c>
      <c r="H78" s="5" t="s">
        <v>36</v>
      </c>
      <c r="I78" s="5" t="s">
        <v>275</v>
      </c>
      <c r="J78" s="5" t="s">
        <v>55</v>
      </c>
      <c r="K78" s="19">
        <v>45627</v>
      </c>
      <c r="L78" s="5" t="s">
        <v>188</v>
      </c>
      <c r="M78" s="16" t="s">
        <v>27</v>
      </c>
      <c r="N78" s="16" t="s">
        <v>65</v>
      </c>
      <c r="O78" s="22" t="s">
        <v>83</v>
      </c>
    </row>
    <row r="79" spans="1:15" hidden="1" x14ac:dyDescent="0.25">
      <c r="A79" s="5">
        <v>72</v>
      </c>
      <c r="B79" s="12" t="s">
        <v>217</v>
      </c>
      <c r="C79" s="5" t="s">
        <v>218</v>
      </c>
      <c r="D79" s="16" t="s">
        <v>185</v>
      </c>
      <c r="E79" s="5" t="s">
        <v>186</v>
      </c>
      <c r="F79" s="5" t="s">
        <v>187</v>
      </c>
      <c r="G79" s="5" t="s">
        <v>35</v>
      </c>
      <c r="H79" s="5" t="s">
        <v>25</v>
      </c>
      <c r="I79" s="5" t="s">
        <v>275</v>
      </c>
      <c r="J79" s="5" t="s">
        <v>55</v>
      </c>
      <c r="K79" s="19">
        <v>45627</v>
      </c>
      <c r="L79" s="5"/>
      <c r="M79" s="16" t="s">
        <v>27</v>
      </c>
      <c r="N79" s="16" t="s">
        <v>65</v>
      </c>
      <c r="O79" s="22" t="s">
        <v>29</v>
      </c>
    </row>
    <row r="80" spans="1:15" ht="30" hidden="1" x14ac:dyDescent="0.25">
      <c r="A80" s="5">
        <v>73</v>
      </c>
      <c r="B80" s="12" t="s">
        <v>201</v>
      </c>
      <c r="C80" s="5" t="s">
        <v>202</v>
      </c>
      <c r="D80" s="16" t="s">
        <v>185</v>
      </c>
      <c r="E80" s="5" t="s">
        <v>186</v>
      </c>
      <c r="F80" s="5" t="s">
        <v>187</v>
      </c>
      <c r="G80" s="7" t="s">
        <v>35</v>
      </c>
      <c r="H80" s="5" t="s">
        <v>25</v>
      </c>
      <c r="I80" s="5" t="s">
        <v>275</v>
      </c>
      <c r="J80" s="5" t="s">
        <v>55</v>
      </c>
      <c r="K80" s="19">
        <v>45627</v>
      </c>
      <c r="L80" s="5"/>
      <c r="M80" s="16" t="s">
        <v>27</v>
      </c>
      <c r="N80" s="16" t="s">
        <v>65</v>
      </c>
      <c r="O80" s="22" t="s">
        <v>29</v>
      </c>
    </row>
    <row r="81" spans="1:15" ht="30" hidden="1" x14ac:dyDescent="0.25">
      <c r="A81" s="5">
        <v>74</v>
      </c>
      <c r="B81" s="12" t="s">
        <v>199</v>
      </c>
      <c r="C81" s="5" t="s">
        <v>200</v>
      </c>
      <c r="D81" s="16" t="s">
        <v>185</v>
      </c>
      <c r="E81" s="5" t="s">
        <v>186</v>
      </c>
      <c r="F81" s="5" t="s">
        <v>187</v>
      </c>
      <c r="G81" s="7" t="s">
        <v>35</v>
      </c>
      <c r="H81" s="5" t="s">
        <v>25</v>
      </c>
      <c r="I81" s="5" t="s">
        <v>275</v>
      </c>
      <c r="J81" s="5" t="s">
        <v>55</v>
      </c>
      <c r="K81" s="19">
        <v>45627</v>
      </c>
      <c r="L81" s="5"/>
      <c r="M81" s="16" t="s">
        <v>27</v>
      </c>
      <c r="N81" s="16" t="s">
        <v>65</v>
      </c>
      <c r="O81" s="22" t="s">
        <v>29</v>
      </c>
    </row>
    <row r="82" spans="1:15" hidden="1" x14ac:dyDescent="0.25">
      <c r="A82" s="5">
        <v>75</v>
      </c>
      <c r="B82" s="12" t="s">
        <v>238</v>
      </c>
      <c r="C82" s="5" t="s">
        <v>239</v>
      </c>
      <c r="D82" s="16" t="s">
        <v>185</v>
      </c>
      <c r="E82" s="5" t="s">
        <v>186</v>
      </c>
      <c r="F82" s="5" t="s">
        <v>231</v>
      </c>
      <c r="G82" s="5" t="s">
        <v>44</v>
      </c>
      <c r="H82" s="5" t="s">
        <v>25</v>
      </c>
      <c r="I82" s="5" t="s">
        <v>275</v>
      </c>
      <c r="J82" s="5" t="s">
        <v>55</v>
      </c>
      <c r="K82" s="19">
        <v>45658</v>
      </c>
      <c r="L82" s="5"/>
      <c r="M82" s="16" t="s">
        <v>27</v>
      </c>
      <c r="N82" s="16" t="s">
        <v>65</v>
      </c>
      <c r="O82" s="22" t="s">
        <v>29</v>
      </c>
    </row>
    <row r="83" spans="1:15" hidden="1" x14ac:dyDescent="0.25">
      <c r="A83" s="5">
        <v>76</v>
      </c>
      <c r="B83" s="12" t="s">
        <v>245</v>
      </c>
      <c r="C83" s="5" t="s">
        <v>246</v>
      </c>
      <c r="D83" s="16" t="s">
        <v>185</v>
      </c>
      <c r="E83" s="5" t="s">
        <v>186</v>
      </c>
      <c r="F83" s="5" t="s">
        <v>242</v>
      </c>
      <c r="G83" s="5" t="s">
        <v>44</v>
      </c>
      <c r="H83" s="5" t="s">
        <v>25</v>
      </c>
      <c r="I83" s="5" t="s">
        <v>275</v>
      </c>
      <c r="J83" s="5" t="s">
        <v>55</v>
      </c>
      <c r="K83" s="19">
        <v>45658</v>
      </c>
      <c r="L83" s="5"/>
      <c r="M83" s="16" t="s">
        <v>27</v>
      </c>
      <c r="N83" s="16" t="s">
        <v>65</v>
      </c>
      <c r="O83" s="22" t="s">
        <v>29</v>
      </c>
    </row>
    <row r="84" spans="1:15" ht="30" hidden="1" x14ac:dyDescent="0.25">
      <c r="A84" s="5">
        <v>77</v>
      </c>
      <c r="B84" s="12" t="s">
        <v>232</v>
      </c>
      <c r="C84" s="5" t="s">
        <v>233</v>
      </c>
      <c r="D84" s="16" t="s">
        <v>185</v>
      </c>
      <c r="E84" s="5" t="s">
        <v>186</v>
      </c>
      <c r="F84" s="5" t="s">
        <v>231</v>
      </c>
      <c r="G84" s="5" t="s">
        <v>44</v>
      </c>
      <c r="H84" s="5" t="s">
        <v>25</v>
      </c>
      <c r="I84" s="5" t="s">
        <v>275</v>
      </c>
      <c r="J84" s="5" t="s">
        <v>55</v>
      </c>
      <c r="K84" s="19">
        <v>45658</v>
      </c>
      <c r="L84" s="5"/>
      <c r="M84" s="16" t="s">
        <v>27</v>
      </c>
      <c r="N84" s="16" t="s">
        <v>65</v>
      </c>
      <c r="O84" s="22" t="s">
        <v>29</v>
      </c>
    </row>
    <row r="85" spans="1:15" hidden="1" x14ac:dyDescent="0.25">
      <c r="A85" s="5">
        <v>78</v>
      </c>
      <c r="B85" s="12" t="s">
        <v>221</v>
      </c>
      <c r="C85" s="5" t="s">
        <v>222</v>
      </c>
      <c r="D85" s="16" t="s">
        <v>185</v>
      </c>
      <c r="E85" s="5" t="s">
        <v>186</v>
      </c>
      <c r="F85" s="5" t="s">
        <v>220</v>
      </c>
      <c r="G85" s="5" t="s">
        <v>86</v>
      </c>
      <c r="H85" s="5" t="s">
        <v>25</v>
      </c>
      <c r="I85" s="5" t="s">
        <v>275</v>
      </c>
      <c r="J85" s="5" t="s">
        <v>55</v>
      </c>
      <c r="K85" s="16" t="s">
        <v>305</v>
      </c>
      <c r="L85" s="5"/>
      <c r="M85" s="16" t="s">
        <v>27</v>
      </c>
      <c r="N85" s="16" t="s">
        <v>65</v>
      </c>
      <c r="O85" s="22" t="s">
        <v>29</v>
      </c>
    </row>
    <row r="86" spans="1:15" ht="30" hidden="1" x14ac:dyDescent="0.25">
      <c r="A86" s="5">
        <v>79</v>
      </c>
      <c r="B86" s="12" t="s">
        <v>227</v>
      </c>
      <c r="C86" s="5" t="s">
        <v>228</v>
      </c>
      <c r="D86" s="16" t="s">
        <v>185</v>
      </c>
      <c r="E86" s="5" t="s">
        <v>186</v>
      </c>
      <c r="F86" s="5" t="s">
        <v>220</v>
      </c>
      <c r="G86" s="5" t="s">
        <v>86</v>
      </c>
      <c r="H86" s="5" t="s">
        <v>25</v>
      </c>
      <c r="I86" s="5" t="s">
        <v>275</v>
      </c>
      <c r="J86" s="5" t="s">
        <v>55</v>
      </c>
      <c r="K86" s="16" t="s">
        <v>305</v>
      </c>
      <c r="L86" s="5"/>
      <c r="M86" s="16" t="s">
        <v>27</v>
      </c>
      <c r="N86" s="16" t="s">
        <v>65</v>
      </c>
      <c r="O86" s="22" t="s">
        <v>29</v>
      </c>
    </row>
    <row r="87" spans="1:15" hidden="1" x14ac:dyDescent="0.25">
      <c r="A87" s="5">
        <v>80</v>
      </c>
      <c r="B87" s="12" t="s">
        <v>223</v>
      </c>
      <c r="C87" s="5" t="s">
        <v>224</v>
      </c>
      <c r="D87" s="16" t="s">
        <v>185</v>
      </c>
      <c r="E87" s="5" t="s">
        <v>186</v>
      </c>
      <c r="F87" s="5" t="s">
        <v>220</v>
      </c>
      <c r="G87" s="5" t="s">
        <v>86</v>
      </c>
      <c r="H87" s="5" t="s">
        <v>25</v>
      </c>
      <c r="I87" s="5" t="s">
        <v>275</v>
      </c>
      <c r="J87" s="5" t="s">
        <v>55</v>
      </c>
      <c r="K87" s="16" t="s">
        <v>305</v>
      </c>
      <c r="L87" s="5"/>
      <c r="M87" s="16" t="s">
        <v>27</v>
      </c>
      <c r="N87" s="16" t="s">
        <v>65</v>
      </c>
      <c r="O87" s="22" t="s">
        <v>29</v>
      </c>
    </row>
    <row r="88" spans="1:15" hidden="1" x14ac:dyDescent="0.25">
      <c r="A88" s="5">
        <v>81</v>
      </c>
      <c r="B88" s="12" t="s">
        <v>229</v>
      </c>
      <c r="C88" s="5" t="s">
        <v>230</v>
      </c>
      <c r="D88" s="16" t="s">
        <v>185</v>
      </c>
      <c r="E88" s="5" t="s">
        <v>186</v>
      </c>
      <c r="F88" s="5" t="s">
        <v>231</v>
      </c>
      <c r="G88" s="5" t="s">
        <v>44</v>
      </c>
      <c r="H88" s="5" t="s">
        <v>25</v>
      </c>
      <c r="I88" s="5" t="s">
        <v>275</v>
      </c>
      <c r="J88" s="5" t="s">
        <v>55</v>
      </c>
      <c r="K88" s="19">
        <v>45658</v>
      </c>
      <c r="L88" s="5"/>
      <c r="M88" s="16" t="s">
        <v>27</v>
      </c>
      <c r="N88" s="16" t="s">
        <v>65</v>
      </c>
      <c r="O88" s="22" t="s">
        <v>29</v>
      </c>
    </row>
    <row r="89" spans="1:15" hidden="1" x14ac:dyDescent="0.25">
      <c r="A89" s="5">
        <v>82</v>
      </c>
      <c r="B89" s="12" t="s">
        <v>225</v>
      </c>
      <c r="C89" s="5" t="s">
        <v>226</v>
      </c>
      <c r="D89" s="16" t="s">
        <v>185</v>
      </c>
      <c r="E89" s="5" t="s">
        <v>186</v>
      </c>
      <c r="F89" s="5" t="s">
        <v>220</v>
      </c>
      <c r="G89" s="5" t="s">
        <v>35</v>
      </c>
      <c r="H89" s="5" t="s">
        <v>25</v>
      </c>
      <c r="I89" s="5" t="s">
        <v>275</v>
      </c>
      <c r="J89" s="5" t="s">
        <v>55</v>
      </c>
      <c r="K89" s="19">
        <v>45627</v>
      </c>
      <c r="L89" s="5"/>
      <c r="M89" s="16" t="s">
        <v>27</v>
      </c>
      <c r="N89" s="16" t="s">
        <v>65</v>
      </c>
      <c r="O89" s="22" t="s">
        <v>29</v>
      </c>
    </row>
    <row r="90" spans="1:15" hidden="1" x14ac:dyDescent="0.25">
      <c r="A90" s="5">
        <v>83</v>
      </c>
      <c r="B90" s="12" t="s">
        <v>269</v>
      </c>
      <c r="C90" s="5" t="s">
        <v>270</v>
      </c>
      <c r="D90" s="16" t="s">
        <v>185</v>
      </c>
      <c r="E90" s="5" t="s">
        <v>186</v>
      </c>
      <c r="F90" s="5" t="s">
        <v>256</v>
      </c>
      <c r="G90" s="5" t="s">
        <v>44</v>
      </c>
      <c r="H90" s="5" t="s">
        <v>25</v>
      </c>
      <c r="I90" s="5" t="s">
        <v>275</v>
      </c>
      <c r="J90" s="5" t="s">
        <v>55</v>
      </c>
      <c r="K90" s="19">
        <v>45658</v>
      </c>
      <c r="L90" s="5"/>
      <c r="M90" s="16" t="s">
        <v>27</v>
      </c>
      <c r="N90" s="16" t="s">
        <v>65</v>
      </c>
      <c r="O90" s="22" t="s">
        <v>29</v>
      </c>
    </row>
    <row r="91" spans="1:15" hidden="1" x14ac:dyDescent="0.25">
      <c r="A91" s="5">
        <v>84</v>
      </c>
      <c r="B91" s="12" t="s">
        <v>261</v>
      </c>
      <c r="C91" s="5" t="s">
        <v>262</v>
      </c>
      <c r="D91" s="16" t="s">
        <v>185</v>
      </c>
      <c r="E91" s="5" t="s">
        <v>186</v>
      </c>
      <c r="F91" s="5" t="s">
        <v>256</v>
      </c>
      <c r="G91" s="5" t="s">
        <v>44</v>
      </c>
      <c r="H91" s="5" t="s">
        <v>25</v>
      </c>
      <c r="I91" s="5" t="s">
        <v>275</v>
      </c>
      <c r="J91" s="5" t="s">
        <v>55</v>
      </c>
      <c r="K91" s="19">
        <v>45658</v>
      </c>
      <c r="L91" s="5"/>
      <c r="M91" s="16" t="s">
        <v>27</v>
      </c>
      <c r="N91" s="16" t="s">
        <v>65</v>
      </c>
      <c r="O91" s="22" t="s">
        <v>29</v>
      </c>
    </row>
    <row r="92" spans="1:15" ht="30" hidden="1" x14ac:dyDescent="0.25">
      <c r="A92" s="5">
        <v>85</v>
      </c>
      <c r="B92" s="12" t="s">
        <v>236</v>
      </c>
      <c r="C92" s="5" t="s">
        <v>237</v>
      </c>
      <c r="D92" s="16" t="s">
        <v>185</v>
      </c>
      <c r="E92" s="5" t="s">
        <v>186</v>
      </c>
      <c r="F92" s="5" t="s">
        <v>231</v>
      </c>
      <c r="G92" s="5" t="s">
        <v>86</v>
      </c>
      <c r="H92" s="5" t="s">
        <v>25</v>
      </c>
      <c r="I92" s="5" t="s">
        <v>275</v>
      </c>
      <c r="J92" s="5" t="s">
        <v>55</v>
      </c>
      <c r="K92" s="19">
        <v>45627</v>
      </c>
      <c r="L92" s="5"/>
      <c r="M92" s="16" t="s">
        <v>27</v>
      </c>
      <c r="N92" s="16" t="s">
        <v>65</v>
      </c>
      <c r="O92" s="22" t="s">
        <v>29</v>
      </c>
    </row>
    <row r="93" spans="1:15" ht="30" hidden="1" x14ac:dyDescent="0.25">
      <c r="A93" s="5">
        <v>86</v>
      </c>
      <c r="B93" s="12" t="s">
        <v>234</v>
      </c>
      <c r="C93" s="5" t="s">
        <v>235</v>
      </c>
      <c r="D93" s="16" t="s">
        <v>185</v>
      </c>
      <c r="E93" s="5" t="s">
        <v>186</v>
      </c>
      <c r="F93" s="5" t="s">
        <v>231</v>
      </c>
      <c r="G93" s="5" t="s">
        <v>44</v>
      </c>
      <c r="H93" s="5" t="s">
        <v>25</v>
      </c>
      <c r="I93" s="5" t="s">
        <v>275</v>
      </c>
      <c r="J93" s="5" t="s">
        <v>55</v>
      </c>
      <c r="K93" s="19">
        <v>45658</v>
      </c>
      <c r="L93" s="5"/>
      <c r="M93" s="16" t="s">
        <v>27</v>
      </c>
      <c r="N93" s="16" t="s">
        <v>65</v>
      </c>
      <c r="O93" s="22" t="s">
        <v>29</v>
      </c>
    </row>
    <row r="94" spans="1:15" hidden="1" x14ac:dyDescent="0.25">
      <c r="A94" s="5">
        <v>87</v>
      </c>
      <c r="B94" s="12" t="s">
        <v>263</v>
      </c>
      <c r="C94" s="5" t="s">
        <v>264</v>
      </c>
      <c r="D94" s="16" t="s">
        <v>185</v>
      </c>
      <c r="E94" s="5" t="s">
        <v>186</v>
      </c>
      <c r="F94" s="5" t="s">
        <v>256</v>
      </c>
      <c r="G94" s="5" t="s">
        <v>44</v>
      </c>
      <c r="H94" s="5" t="s">
        <v>25</v>
      </c>
      <c r="I94" s="5" t="s">
        <v>275</v>
      </c>
      <c r="J94" s="5" t="s">
        <v>55</v>
      </c>
      <c r="K94" s="19">
        <v>45658</v>
      </c>
      <c r="L94" s="5"/>
      <c r="M94" s="16" t="s">
        <v>27</v>
      </c>
      <c r="N94" s="16" t="s">
        <v>65</v>
      </c>
      <c r="O94" s="22" t="s">
        <v>29</v>
      </c>
    </row>
    <row r="95" spans="1:15" hidden="1" x14ac:dyDescent="0.25">
      <c r="A95" s="5">
        <v>88</v>
      </c>
      <c r="B95" s="12" t="s">
        <v>267</v>
      </c>
      <c r="C95" s="5" t="s">
        <v>268</v>
      </c>
      <c r="D95" s="16" t="s">
        <v>185</v>
      </c>
      <c r="E95" s="5" t="s">
        <v>186</v>
      </c>
      <c r="F95" s="5" t="s">
        <v>256</v>
      </c>
      <c r="G95" s="5" t="s">
        <v>44</v>
      </c>
      <c r="H95" s="5" t="s">
        <v>25</v>
      </c>
      <c r="I95" s="5" t="s">
        <v>275</v>
      </c>
      <c r="J95" s="5" t="s">
        <v>55</v>
      </c>
      <c r="K95" s="19">
        <v>45658</v>
      </c>
      <c r="L95" s="5"/>
      <c r="M95" s="16" t="s">
        <v>27</v>
      </c>
      <c r="N95" s="16" t="s">
        <v>65</v>
      </c>
      <c r="O95" s="22" t="s">
        <v>29</v>
      </c>
    </row>
    <row r="96" spans="1:15" hidden="1" x14ac:dyDescent="0.25">
      <c r="A96" s="5">
        <v>89</v>
      </c>
      <c r="B96" s="12" t="s">
        <v>265</v>
      </c>
      <c r="C96" s="5" t="s">
        <v>266</v>
      </c>
      <c r="D96" s="16" t="s">
        <v>185</v>
      </c>
      <c r="E96" s="5" t="s">
        <v>186</v>
      </c>
      <c r="F96" s="5" t="s">
        <v>256</v>
      </c>
      <c r="G96" s="5" t="s">
        <v>44</v>
      </c>
      <c r="H96" s="5" t="s">
        <v>25</v>
      </c>
      <c r="I96" s="5" t="s">
        <v>275</v>
      </c>
      <c r="J96" s="5" t="s">
        <v>55</v>
      </c>
      <c r="K96" s="19">
        <v>45658</v>
      </c>
      <c r="L96" s="5"/>
      <c r="M96" s="16" t="s">
        <v>27</v>
      </c>
      <c r="N96" s="16" t="s">
        <v>65</v>
      </c>
      <c r="O96" s="22" t="s">
        <v>29</v>
      </c>
    </row>
    <row r="97" spans="1:15" hidden="1" x14ac:dyDescent="0.25">
      <c r="A97" s="5">
        <v>90</v>
      </c>
      <c r="B97" s="12" t="s">
        <v>173</v>
      </c>
      <c r="C97" s="8" t="s">
        <v>174</v>
      </c>
      <c r="D97" s="9" t="s">
        <v>21</v>
      </c>
      <c r="E97" s="8" t="s">
        <v>171</v>
      </c>
      <c r="F97" s="8" t="s">
        <v>175</v>
      </c>
      <c r="G97" s="10" t="s">
        <v>24</v>
      </c>
      <c r="H97" s="8" t="s">
        <v>81</v>
      </c>
      <c r="I97" s="8" t="s">
        <v>76</v>
      </c>
      <c r="J97" s="8" t="s">
        <v>55</v>
      </c>
      <c r="K97" s="11">
        <v>45629</v>
      </c>
      <c r="L97" s="8"/>
      <c r="M97" s="9" t="s">
        <v>65</v>
      </c>
      <c r="N97" s="9" t="s">
        <v>65</v>
      </c>
      <c r="O97" s="23" t="s">
        <v>95</v>
      </c>
    </row>
    <row r="98" spans="1:15" hidden="1" x14ac:dyDescent="0.25">
      <c r="A98" s="5">
        <v>91</v>
      </c>
      <c r="B98" s="12" t="s">
        <v>169</v>
      </c>
      <c r="C98" s="8" t="s">
        <v>170</v>
      </c>
      <c r="D98" s="9" t="s">
        <v>21</v>
      </c>
      <c r="E98" s="8" t="s">
        <v>171</v>
      </c>
      <c r="F98" s="8" t="s">
        <v>172</v>
      </c>
      <c r="G98" s="10" t="s">
        <v>24</v>
      </c>
      <c r="H98" s="8" t="s">
        <v>81</v>
      </c>
      <c r="I98" s="8" t="s">
        <v>76</v>
      </c>
      <c r="J98" s="8" t="s">
        <v>55</v>
      </c>
      <c r="K98" s="11">
        <v>45629</v>
      </c>
      <c r="L98" s="8"/>
      <c r="M98" s="9" t="s">
        <v>65</v>
      </c>
      <c r="N98" s="13" t="s">
        <v>65</v>
      </c>
      <c r="O98" s="23" t="s">
        <v>95</v>
      </c>
    </row>
    <row r="99" spans="1:15" hidden="1" x14ac:dyDescent="0.25">
      <c r="A99" s="5">
        <v>92</v>
      </c>
      <c r="B99" s="12" t="s">
        <v>176</v>
      </c>
      <c r="C99" s="8" t="s">
        <v>177</v>
      </c>
      <c r="D99" s="9" t="s">
        <v>21</v>
      </c>
      <c r="E99" s="8" t="s">
        <v>171</v>
      </c>
      <c r="F99" s="8" t="s">
        <v>178</v>
      </c>
      <c r="G99" s="10" t="s">
        <v>24</v>
      </c>
      <c r="H99" s="8" t="s">
        <v>81</v>
      </c>
      <c r="I99" s="8" t="s">
        <v>76</v>
      </c>
      <c r="J99" s="8" t="s">
        <v>55</v>
      </c>
      <c r="K99" s="11">
        <v>45629</v>
      </c>
      <c r="L99" s="8"/>
      <c r="M99" s="9" t="s">
        <v>65</v>
      </c>
      <c r="N99" s="9" t="s">
        <v>65</v>
      </c>
      <c r="O99" s="23" t="s">
        <v>95</v>
      </c>
    </row>
    <row r="100" spans="1:15" hidden="1" x14ac:dyDescent="0.25">
      <c r="A100" s="5">
        <v>93</v>
      </c>
      <c r="B100" s="12" t="s">
        <v>66</v>
      </c>
      <c r="C100" s="5" t="s">
        <v>67</v>
      </c>
      <c r="D100" s="16" t="s">
        <v>21</v>
      </c>
      <c r="E100" s="5" t="s">
        <v>63</v>
      </c>
      <c r="F100" s="5" t="s">
        <v>64</v>
      </c>
      <c r="G100" s="5" t="s">
        <v>35</v>
      </c>
      <c r="H100" s="5" t="s">
        <v>36</v>
      </c>
      <c r="I100" s="5" t="s">
        <v>60</v>
      </c>
      <c r="J100" s="5" t="s">
        <v>55</v>
      </c>
      <c r="K100" s="5">
        <v>44258</v>
      </c>
      <c r="L100" s="5"/>
      <c r="M100" s="16" t="s">
        <v>27</v>
      </c>
      <c r="N100" s="16" t="s">
        <v>65</v>
      </c>
      <c r="O100" s="22" t="s">
        <v>50</v>
      </c>
    </row>
    <row r="101" spans="1:15" hidden="1" x14ac:dyDescent="0.25">
      <c r="A101" s="5">
        <v>94</v>
      </c>
      <c r="B101" s="12" t="s">
        <v>68</v>
      </c>
      <c r="C101" s="5" t="s">
        <v>67</v>
      </c>
      <c r="D101" s="16" t="s">
        <v>21</v>
      </c>
      <c r="E101" s="5" t="s">
        <v>63</v>
      </c>
      <c r="F101" s="5" t="s">
        <v>64</v>
      </c>
      <c r="G101" s="5" t="s">
        <v>69</v>
      </c>
      <c r="H101" s="5" t="s">
        <v>36</v>
      </c>
      <c r="I101" s="5" t="s">
        <v>60</v>
      </c>
      <c r="J101" s="5" t="s">
        <v>55</v>
      </c>
      <c r="K101" s="5">
        <v>44258</v>
      </c>
      <c r="L101" s="5"/>
      <c r="M101" s="16" t="s">
        <v>27</v>
      </c>
      <c r="N101" s="16" t="s">
        <v>65</v>
      </c>
      <c r="O101" s="22" t="s">
        <v>50</v>
      </c>
    </row>
    <row r="102" spans="1:15" hidden="1" x14ac:dyDescent="0.25">
      <c r="A102" s="5">
        <v>95</v>
      </c>
      <c r="B102" s="12" t="s">
        <v>61</v>
      </c>
      <c r="C102" s="5" t="s">
        <v>62</v>
      </c>
      <c r="D102" s="16" t="s">
        <v>21</v>
      </c>
      <c r="E102" s="5" t="s">
        <v>63</v>
      </c>
      <c r="F102" s="5" t="s">
        <v>64</v>
      </c>
      <c r="G102" s="5" t="s">
        <v>24</v>
      </c>
      <c r="H102" s="5" t="s">
        <v>36</v>
      </c>
      <c r="I102" s="5" t="s">
        <v>60</v>
      </c>
      <c r="J102" s="5" t="s">
        <v>55</v>
      </c>
      <c r="K102" s="5">
        <v>45537</v>
      </c>
      <c r="L102" s="5"/>
      <c r="M102" s="16" t="s">
        <v>27</v>
      </c>
      <c r="N102" s="16" t="s">
        <v>65</v>
      </c>
      <c r="O102" s="22" t="s">
        <v>39</v>
      </c>
    </row>
    <row r="103" spans="1:15" ht="30" hidden="1" x14ac:dyDescent="0.25">
      <c r="A103" s="5">
        <v>96</v>
      </c>
      <c r="B103" s="12" t="s">
        <v>70</v>
      </c>
      <c r="C103" s="5" t="s">
        <v>71</v>
      </c>
      <c r="D103" s="16" t="s">
        <v>21</v>
      </c>
      <c r="E103" s="5" t="s">
        <v>63</v>
      </c>
      <c r="F103" s="5" t="s">
        <v>64</v>
      </c>
      <c r="G103" s="5" t="s">
        <v>44</v>
      </c>
      <c r="H103" s="5" t="s">
        <v>36</v>
      </c>
      <c r="I103" s="5" t="s">
        <v>60</v>
      </c>
      <c r="J103" s="5" t="s">
        <v>55</v>
      </c>
      <c r="K103" s="5">
        <v>45537</v>
      </c>
      <c r="L103" s="5"/>
      <c r="M103" s="16" t="s">
        <v>27</v>
      </c>
      <c r="N103" s="16" t="s">
        <v>65</v>
      </c>
      <c r="O103" s="22" t="s">
        <v>39</v>
      </c>
    </row>
    <row r="104" spans="1:15" ht="30" hidden="1" x14ac:dyDescent="0.25">
      <c r="A104" s="5">
        <v>97</v>
      </c>
      <c r="B104" s="12" t="s">
        <v>163</v>
      </c>
      <c r="C104" s="5" t="s">
        <v>167</v>
      </c>
      <c r="D104" s="16" t="s">
        <v>21</v>
      </c>
      <c r="E104" s="5" t="s">
        <v>168</v>
      </c>
      <c r="F104" s="5" t="s">
        <v>164</v>
      </c>
      <c r="G104" s="5" t="s">
        <v>35</v>
      </c>
      <c r="H104" s="5" t="s">
        <v>36</v>
      </c>
      <c r="I104" s="5" t="s">
        <v>60</v>
      </c>
      <c r="J104" s="5" t="s">
        <v>55</v>
      </c>
      <c r="K104" s="5">
        <v>45596</v>
      </c>
      <c r="L104" s="5" t="s">
        <v>165</v>
      </c>
      <c r="M104" s="16" t="s">
        <v>27</v>
      </c>
      <c r="N104" s="16" t="s">
        <v>65</v>
      </c>
      <c r="O104" s="22" t="s">
        <v>95</v>
      </c>
    </row>
    <row r="105" spans="1:15" ht="30" hidden="1" x14ac:dyDescent="0.25">
      <c r="A105" s="5">
        <v>98</v>
      </c>
      <c r="B105" s="12" t="s">
        <v>166</v>
      </c>
      <c r="C105" s="5" t="s">
        <v>167</v>
      </c>
      <c r="D105" s="16" t="s">
        <v>21</v>
      </c>
      <c r="E105" s="5" t="s">
        <v>168</v>
      </c>
      <c r="F105" s="5" t="s">
        <v>164</v>
      </c>
      <c r="G105" s="5" t="s">
        <v>86</v>
      </c>
      <c r="H105" s="5" t="s">
        <v>36</v>
      </c>
      <c r="I105" s="5" t="s">
        <v>60</v>
      </c>
      <c r="J105" s="5" t="s">
        <v>55</v>
      </c>
      <c r="K105" s="5">
        <v>45610</v>
      </c>
      <c r="L105" s="5"/>
      <c r="M105" s="16" t="s">
        <v>27</v>
      </c>
      <c r="N105" s="16" t="s">
        <v>65</v>
      </c>
      <c r="O105" s="22" t="s">
        <v>95</v>
      </c>
    </row>
    <row r="106" spans="1:15" ht="30" hidden="1" x14ac:dyDescent="0.25">
      <c r="A106" s="5">
        <v>99</v>
      </c>
      <c r="B106" s="12" t="s">
        <v>40</v>
      </c>
      <c r="C106" s="5" t="s">
        <v>41</v>
      </c>
      <c r="D106" s="16" t="s">
        <v>42</v>
      </c>
      <c r="E106" s="5" t="s">
        <v>168</v>
      </c>
      <c r="F106" s="5" t="s">
        <v>43</v>
      </c>
      <c r="G106" s="5" t="s">
        <v>44</v>
      </c>
      <c r="H106" s="5" t="s">
        <v>45</v>
      </c>
      <c r="I106" s="5" t="s">
        <v>37</v>
      </c>
      <c r="J106" s="5" t="s">
        <v>38</v>
      </c>
      <c r="K106" s="5"/>
      <c r="L106" s="5"/>
      <c r="M106" s="16"/>
      <c r="N106" s="16"/>
      <c r="O106" s="22" t="s">
        <v>39</v>
      </c>
    </row>
    <row r="107" spans="1:15" ht="30" hidden="1" x14ac:dyDescent="0.25">
      <c r="A107" s="29">
        <v>100</v>
      </c>
      <c r="B107" s="30" t="s">
        <v>369</v>
      </c>
      <c r="C107" s="31" t="s">
        <v>370</v>
      </c>
      <c r="D107" s="32" t="s">
        <v>21</v>
      </c>
      <c r="E107" s="31" t="s">
        <v>352</v>
      </c>
      <c r="F107" s="31" t="s">
        <v>359</v>
      </c>
      <c r="G107" s="33" t="s">
        <v>44</v>
      </c>
      <c r="H107" s="31" t="s">
        <v>290</v>
      </c>
      <c r="I107" s="31" t="s">
        <v>275</v>
      </c>
      <c r="J107" s="31" t="s">
        <v>55</v>
      </c>
      <c r="K107" s="34">
        <v>45868</v>
      </c>
      <c r="L107" s="32" t="s">
        <v>28</v>
      </c>
      <c r="M107" s="32" t="s">
        <v>27</v>
      </c>
      <c r="N107" s="32" t="s">
        <v>27</v>
      </c>
      <c r="O107" s="35" t="s">
        <v>50</v>
      </c>
    </row>
    <row r="108" spans="1:15" ht="30" hidden="1" x14ac:dyDescent="0.25">
      <c r="A108" s="29">
        <v>101</v>
      </c>
      <c r="B108" s="36" t="s">
        <v>353</v>
      </c>
      <c r="C108" s="31" t="s">
        <v>354</v>
      </c>
      <c r="D108" s="32" t="s">
        <v>21</v>
      </c>
      <c r="E108" s="31" t="s">
        <v>352</v>
      </c>
      <c r="F108" s="33" t="s">
        <v>360</v>
      </c>
      <c r="G108" s="33" t="s">
        <v>44</v>
      </c>
      <c r="H108" s="31" t="s">
        <v>299</v>
      </c>
      <c r="I108" s="31" t="s">
        <v>275</v>
      </c>
      <c r="J108" s="31" t="s">
        <v>55</v>
      </c>
      <c r="K108" s="34">
        <v>45868</v>
      </c>
      <c r="L108" s="32" t="s">
        <v>28</v>
      </c>
      <c r="M108" s="32" t="s">
        <v>27</v>
      </c>
      <c r="N108" s="32" t="s">
        <v>27</v>
      </c>
      <c r="O108" s="35" t="s">
        <v>50</v>
      </c>
    </row>
    <row r="109" spans="1:15" ht="30" hidden="1" x14ac:dyDescent="0.25">
      <c r="A109" s="29">
        <v>102</v>
      </c>
      <c r="B109" s="36" t="s">
        <v>355</v>
      </c>
      <c r="C109" s="31" t="s">
        <v>371</v>
      </c>
      <c r="D109" s="32" t="s">
        <v>21</v>
      </c>
      <c r="E109" s="31" t="s">
        <v>372</v>
      </c>
      <c r="F109" s="33" t="s">
        <v>373</v>
      </c>
      <c r="G109" s="33" t="s">
        <v>44</v>
      </c>
      <c r="H109" s="31" t="s">
        <v>299</v>
      </c>
      <c r="I109" s="31" t="s">
        <v>275</v>
      </c>
      <c r="J109" s="31" t="s">
        <v>55</v>
      </c>
      <c r="K109" s="34">
        <v>45868</v>
      </c>
      <c r="L109" s="32" t="s">
        <v>28</v>
      </c>
      <c r="M109" s="32" t="s">
        <v>27</v>
      </c>
      <c r="N109" s="32" t="s">
        <v>27</v>
      </c>
      <c r="O109" s="35" t="s">
        <v>50</v>
      </c>
    </row>
    <row r="110" spans="1:15" ht="30" hidden="1" x14ac:dyDescent="0.25">
      <c r="A110" s="29">
        <v>103</v>
      </c>
      <c r="B110" s="36" t="s">
        <v>356</v>
      </c>
      <c r="C110" s="33" t="s">
        <v>357</v>
      </c>
      <c r="D110" s="32" t="s">
        <v>21</v>
      </c>
      <c r="E110" s="31" t="s">
        <v>372</v>
      </c>
      <c r="F110" s="31" t="s">
        <v>374</v>
      </c>
      <c r="G110" s="33" t="s">
        <v>86</v>
      </c>
      <c r="H110" s="31" t="s">
        <v>299</v>
      </c>
      <c r="I110" s="31" t="s">
        <v>275</v>
      </c>
      <c r="J110" s="31" t="s">
        <v>55</v>
      </c>
      <c r="K110" s="34">
        <v>45868</v>
      </c>
      <c r="L110" s="32" t="s">
        <v>28</v>
      </c>
      <c r="M110" s="32" t="s">
        <v>27</v>
      </c>
      <c r="N110" s="32" t="s">
        <v>27</v>
      </c>
      <c r="O110" s="35" t="s">
        <v>50</v>
      </c>
    </row>
    <row r="111" spans="1:15" ht="30" hidden="1" x14ac:dyDescent="0.25">
      <c r="A111" s="29">
        <v>104</v>
      </c>
      <c r="B111" s="36" t="s">
        <v>367</v>
      </c>
      <c r="C111" s="33" t="s">
        <v>375</v>
      </c>
      <c r="D111" s="32" t="s">
        <v>21</v>
      </c>
      <c r="E111" s="31" t="s">
        <v>372</v>
      </c>
      <c r="F111" s="31" t="s">
        <v>376</v>
      </c>
      <c r="G111" s="33" t="s">
        <v>86</v>
      </c>
      <c r="H111" s="31" t="s">
        <v>299</v>
      </c>
      <c r="I111" s="31" t="s">
        <v>275</v>
      </c>
      <c r="J111" s="31" t="s">
        <v>55</v>
      </c>
      <c r="K111" s="34">
        <v>45869</v>
      </c>
      <c r="L111" s="32" t="s">
        <v>28</v>
      </c>
      <c r="M111" s="32" t="s">
        <v>27</v>
      </c>
      <c r="N111" s="32" t="s">
        <v>27</v>
      </c>
      <c r="O111" s="35" t="s">
        <v>50</v>
      </c>
    </row>
    <row r="112" spans="1:15" ht="30" hidden="1" x14ac:dyDescent="0.25">
      <c r="A112" s="29">
        <v>105</v>
      </c>
      <c r="B112" s="36" t="s">
        <v>358</v>
      </c>
      <c r="C112" s="33" t="s">
        <v>366</v>
      </c>
      <c r="D112" s="32" t="s">
        <v>21</v>
      </c>
      <c r="E112" s="31" t="s">
        <v>372</v>
      </c>
      <c r="F112" s="31" t="s">
        <v>377</v>
      </c>
      <c r="G112" s="33" t="s">
        <v>86</v>
      </c>
      <c r="H112" s="31" t="s">
        <v>299</v>
      </c>
      <c r="I112" s="31" t="s">
        <v>275</v>
      </c>
      <c r="J112" s="31" t="s">
        <v>55</v>
      </c>
      <c r="K112" s="34">
        <v>45869</v>
      </c>
      <c r="L112" s="32" t="s">
        <v>28</v>
      </c>
      <c r="M112" s="32" t="s">
        <v>27</v>
      </c>
      <c r="N112" s="32" t="s">
        <v>27</v>
      </c>
      <c r="O112" s="35" t="s">
        <v>50</v>
      </c>
    </row>
    <row r="113" spans="1:15" ht="45" hidden="1" x14ac:dyDescent="0.25">
      <c r="A113" s="29">
        <v>106</v>
      </c>
      <c r="B113" s="36" t="s">
        <v>378</v>
      </c>
      <c r="C113" s="33" t="s">
        <v>379</v>
      </c>
      <c r="D113" s="32" t="s">
        <v>21</v>
      </c>
      <c r="E113" s="31" t="s">
        <v>372</v>
      </c>
      <c r="F113" s="31" t="s">
        <v>361</v>
      </c>
      <c r="G113" s="33" t="s">
        <v>86</v>
      </c>
      <c r="H113" s="31" t="s">
        <v>299</v>
      </c>
      <c r="I113" s="31" t="s">
        <v>275</v>
      </c>
      <c r="J113" s="31" t="s">
        <v>55</v>
      </c>
      <c r="K113" s="34">
        <v>45869</v>
      </c>
      <c r="L113" s="32" t="s">
        <v>28</v>
      </c>
      <c r="M113" s="32" t="s">
        <v>27</v>
      </c>
      <c r="N113" s="32" t="s">
        <v>27</v>
      </c>
      <c r="O113" s="35" t="s">
        <v>50</v>
      </c>
    </row>
    <row r="114" spans="1:15" ht="45" hidden="1" x14ac:dyDescent="0.25">
      <c r="A114" s="29">
        <v>107</v>
      </c>
      <c r="B114" s="36" t="s">
        <v>362</v>
      </c>
      <c r="C114" s="33" t="s">
        <v>380</v>
      </c>
      <c r="D114" s="32" t="s">
        <v>21</v>
      </c>
      <c r="E114" s="31" t="s">
        <v>372</v>
      </c>
      <c r="F114" s="31" t="s">
        <v>361</v>
      </c>
      <c r="G114" s="33" t="s">
        <v>86</v>
      </c>
      <c r="H114" s="31" t="s">
        <v>299</v>
      </c>
      <c r="I114" s="31" t="s">
        <v>275</v>
      </c>
      <c r="J114" s="31" t="s">
        <v>55</v>
      </c>
      <c r="K114" s="34">
        <v>45869</v>
      </c>
      <c r="L114" s="32" t="s">
        <v>28</v>
      </c>
      <c r="M114" s="32" t="s">
        <v>27</v>
      </c>
      <c r="N114" s="32" t="s">
        <v>27</v>
      </c>
      <c r="O114" s="35" t="s">
        <v>50</v>
      </c>
    </row>
    <row r="115" spans="1:15" ht="30" hidden="1" x14ac:dyDescent="0.25">
      <c r="A115" s="29">
        <v>108</v>
      </c>
      <c r="B115" s="36" t="s">
        <v>363</v>
      </c>
      <c r="C115" s="33" t="s">
        <v>364</v>
      </c>
      <c r="D115" s="37" t="s">
        <v>21</v>
      </c>
      <c r="E115" s="31" t="s">
        <v>352</v>
      </c>
      <c r="F115" s="31" t="s">
        <v>365</v>
      </c>
      <c r="G115" s="33" t="s">
        <v>368</v>
      </c>
      <c r="H115" s="31" t="s">
        <v>290</v>
      </c>
      <c r="I115" s="31" t="s">
        <v>275</v>
      </c>
      <c r="J115" s="31" t="s">
        <v>55</v>
      </c>
      <c r="K115" s="38">
        <v>45869</v>
      </c>
      <c r="L115" s="32" t="s">
        <v>28</v>
      </c>
      <c r="M115" s="32" t="s">
        <v>27</v>
      </c>
      <c r="N115" s="32" t="s">
        <v>27</v>
      </c>
      <c r="O115" s="35" t="s">
        <v>50</v>
      </c>
    </row>
  </sheetData>
  <autoFilter ref="A7:O115" xr:uid="{00000000-0009-0000-0000-000000000000}">
    <filterColumn colId="4">
      <filters>
        <filter val="Direccion de  Planeamiento Urbano"/>
        <filter val="Direccion de Planeamineto Urbano"/>
      </filters>
    </filterColumn>
  </autoFilter>
  <mergeCells count="5">
    <mergeCell ref="A2:O2"/>
    <mergeCell ref="A3:O3"/>
    <mergeCell ref="A4:O4"/>
    <mergeCell ref="A5:O5"/>
    <mergeCell ref="H6:M6"/>
  </mergeCells>
  <dataValidations count="4">
    <dataValidation type="list" allowBlank="1" showInputMessage="1" showErrorMessage="1" sqref="O55:O56" xr:uid="{00000000-0002-0000-0000-000000000000}">
      <formula1>"Abierta,Cerrada,Disponible,Confidencial"</formula1>
    </dataValidation>
    <dataValidation type="list" allowBlank="1" showInputMessage="1" showErrorMessage="1" sqref="J55:J56" xr:uid="{00000000-0002-0000-0000-000001000000}">
      <formula1>"Interna,Externa"</formula1>
    </dataValidation>
    <dataValidation type="list" allowBlank="1" showInputMessage="1" showErrorMessage="1" sqref="H55:H56" xr:uid="{00000000-0002-0000-0000-000002000000}">
      <formula1>"Publica,Privada"</formula1>
    </dataValidation>
    <dataValidation type="list" allowBlank="1" showInputMessage="1" showErrorMessage="1" sqref="G55:G56" xr:uid="{00000000-0002-0000-0000-000003000000}">
      <formula1>"Diaria,Semanal,Mensual,Trimestral,Anual,Unica"</formula1>
    </dataValidation>
  </dataValidations>
  <hyperlinks>
    <hyperlink ref="L14" r:id="rId1" xr:uid="{00000000-0004-0000-0000-000000000000}"/>
  </hyperlinks>
  <pageMargins left="0.59055118110236227" right="0.59055118110236227" top="0.55118110236220474" bottom="0.55118110236220474" header="0.31496062992125984" footer="0.31496062992125984"/>
  <pageSetup paperSize="5" scale="46" orientation="landscape" r:id="rId2"/>
  <headerFooter>
    <oddFooter>Página &amp;P de &amp;F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36"/>
  <sheetViews>
    <sheetView showGridLines="0" zoomScaleNormal="100" workbookViewId="0">
      <selection activeCell="C6" sqref="C6"/>
    </sheetView>
  </sheetViews>
  <sheetFormatPr baseColWidth="10" defaultRowHeight="15" x14ac:dyDescent="0.25"/>
  <cols>
    <col min="3" max="3" width="55.5703125" customWidth="1"/>
    <col min="5" max="5" width="49.85546875" bestFit="1" customWidth="1"/>
  </cols>
  <sheetData>
    <row r="2" spans="2:5" x14ac:dyDescent="0.25">
      <c r="C2" s="26" t="s">
        <v>316</v>
      </c>
      <c r="E2" s="26" t="s">
        <v>317</v>
      </c>
    </row>
    <row r="3" spans="2:5" ht="15.75" x14ac:dyDescent="0.25">
      <c r="B3">
        <v>1</v>
      </c>
      <c r="C3" s="5" t="s">
        <v>22</v>
      </c>
      <c r="D3">
        <v>1</v>
      </c>
      <c r="E3" s="25" t="s">
        <v>350</v>
      </c>
    </row>
    <row r="4" spans="2:5" ht="15.75" x14ac:dyDescent="0.25">
      <c r="B4">
        <v>2</v>
      </c>
      <c r="C4" s="8" t="s">
        <v>287</v>
      </c>
      <c r="D4">
        <v>2</v>
      </c>
      <c r="E4" s="25" t="s">
        <v>319</v>
      </c>
    </row>
    <row r="5" spans="2:5" ht="15.75" x14ac:dyDescent="0.25">
      <c r="B5">
        <v>3</v>
      </c>
      <c r="C5" s="5" t="s">
        <v>98</v>
      </c>
      <c r="D5">
        <v>3</v>
      </c>
      <c r="E5" s="25" t="s">
        <v>320</v>
      </c>
    </row>
    <row r="6" spans="2:5" ht="15.75" x14ac:dyDescent="0.25">
      <c r="B6">
        <v>4</v>
      </c>
      <c r="C6" s="5" t="s">
        <v>179</v>
      </c>
      <c r="D6">
        <v>4</v>
      </c>
      <c r="E6" s="25" t="s">
        <v>321</v>
      </c>
    </row>
    <row r="7" spans="2:5" ht="15.75" x14ac:dyDescent="0.25">
      <c r="B7">
        <v>5</v>
      </c>
      <c r="C7" s="5" t="s">
        <v>102</v>
      </c>
      <c r="D7">
        <v>5</v>
      </c>
      <c r="E7" s="25" t="s">
        <v>322</v>
      </c>
    </row>
    <row r="8" spans="2:5" ht="15.75" x14ac:dyDescent="0.25">
      <c r="B8">
        <v>6</v>
      </c>
      <c r="C8" s="5" t="s">
        <v>79</v>
      </c>
      <c r="D8">
        <v>6</v>
      </c>
      <c r="E8" s="25" t="s">
        <v>323</v>
      </c>
    </row>
    <row r="9" spans="2:5" ht="15.75" x14ac:dyDescent="0.25">
      <c r="B9">
        <v>7</v>
      </c>
      <c r="C9" s="5" t="s">
        <v>180</v>
      </c>
      <c r="D9">
        <v>7</v>
      </c>
      <c r="E9" s="25" t="s">
        <v>324</v>
      </c>
    </row>
    <row r="10" spans="2:5" ht="15.75" x14ac:dyDescent="0.25">
      <c r="B10">
        <v>8</v>
      </c>
      <c r="C10" s="5" t="s">
        <v>325</v>
      </c>
      <c r="D10">
        <v>8</v>
      </c>
      <c r="E10" s="25" t="s">
        <v>326</v>
      </c>
    </row>
    <row r="11" spans="2:5" ht="15.75" x14ac:dyDescent="0.25">
      <c r="B11">
        <v>9</v>
      </c>
      <c r="C11" s="8" t="s">
        <v>279</v>
      </c>
      <c r="D11">
        <v>9</v>
      </c>
      <c r="E11" s="25" t="s">
        <v>327</v>
      </c>
    </row>
    <row r="12" spans="2:5" ht="15.75" x14ac:dyDescent="0.25">
      <c r="B12">
        <v>10</v>
      </c>
      <c r="C12" s="8" t="s">
        <v>273</v>
      </c>
      <c r="D12">
        <v>10</v>
      </c>
      <c r="E12" s="25" t="s">
        <v>328</v>
      </c>
    </row>
    <row r="13" spans="2:5" ht="15.75" x14ac:dyDescent="0.25">
      <c r="B13">
        <v>11</v>
      </c>
      <c r="C13" s="5" t="s">
        <v>74</v>
      </c>
      <c r="D13">
        <v>11</v>
      </c>
      <c r="E13" s="25" t="s">
        <v>329</v>
      </c>
    </row>
    <row r="14" spans="2:5" ht="15.75" x14ac:dyDescent="0.25">
      <c r="B14">
        <v>12</v>
      </c>
      <c r="C14" s="5" t="s">
        <v>186</v>
      </c>
      <c r="D14">
        <v>12</v>
      </c>
      <c r="E14" s="25" t="s">
        <v>330</v>
      </c>
    </row>
    <row r="15" spans="2:5" ht="15.75" x14ac:dyDescent="0.25">
      <c r="B15">
        <v>13</v>
      </c>
      <c r="C15" s="8" t="s">
        <v>171</v>
      </c>
      <c r="D15">
        <v>13</v>
      </c>
      <c r="E15" s="25" t="s">
        <v>331</v>
      </c>
    </row>
    <row r="16" spans="2:5" ht="15.75" x14ac:dyDescent="0.25">
      <c r="B16">
        <v>14</v>
      </c>
      <c r="C16" s="5" t="s">
        <v>63</v>
      </c>
      <c r="D16">
        <v>14</v>
      </c>
      <c r="E16" s="25" t="s">
        <v>332</v>
      </c>
    </row>
    <row r="17" spans="2:5" ht="15.75" x14ac:dyDescent="0.25">
      <c r="B17">
        <v>15</v>
      </c>
      <c r="C17" s="5" t="s">
        <v>168</v>
      </c>
      <c r="D17">
        <v>15</v>
      </c>
      <c r="E17" s="25" t="s">
        <v>333</v>
      </c>
    </row>
    <row r="18" spans="2:5" ht="15.75" x14ac:dyDescent="0.25">
      <c r="D18">
        <v>16</v>
      </c>
      <c r="E18" s="25" t="s">
        <v>334</v>
      </c>
    </row>
    <row r="19" spans="2:5" ht="15.75" x14ac:dyDescent="0.25">
      <c r="D19">
        <v>17</v>
      </c>
      <c r="E19" s="25" t="s">
        <v>335</v>
      </c>
    </row>
    <row r="20" spans="2:5" ht="15.75" x14ac:dyDescent="0.25">
      <c r="D20">
        <v>18</v>
      </c>
      <c r="E20" s="25" t="s">
        <v>336</v>
      </c>
    </row>
    <row r="21" spans="2:5" ht="15.75" x14ac:dyDescent="0.25">
      <c r="C21" s="27">
        <f>15/(15+32)</f>
        <v>0.31914893617021278</v>
      </c>
      <c r="D21">
        <v>19</v>
      </c>
      <c r="E21" s="25" t="s">
        <v>337</v>
      </c>
    </row>
    <row r="22" spans="2:5" ht="15.75" x14ac:dyDescent="0.25">
      <c r="D22">
        <v>20</v>
      </c>
      <c r="E22" s="25" t="s">
        <v>338</v>
      </c>
    </row>
    <row r="23" spans="2:5" ht="15.75" x14ac:dyDescent="0.25">
      <c r="D23">
        <v>21</v>
      </c>
      <c r="E23" s="25" t="s">
        <v>339</v>
      </c>
    </row>
    <row r="24" spans="2:5" ht="15.75" x14ac:dyDescent="0.25">
      <c r="C24">
        <f>+B17+D34</f>
        <v>47</v>
      </c>
      <c r="D24">
        <v>22</v>
      </c>
      <c r="E24" s="25" t="s">
        <v>340</v>
      </c>
    </row>
    <row r="25" spans="2:5" ht="15.75" x14ac:dyDescent="0.25">
      <c r="D25">
        <v>23</v>
      </c>
      <c r="E25" s="25" t="s">
        <v>341</v>
      </c>
    </row>
    <row r="26" spans="2:5" ht="15.75" x14ac:dyDescent="0.25">
      <c r="D26">
        <v>24</v>
      </c>
      <c r="E26" s="25" t="s">
        <v>342</v>
      </c>
    </row>
    <row r="27" spans="2:5" ht="15.75" x14ac:dyDescent="0.25">
      <c r="D27">
        <v>25</v>
      </c>
      <c r="E27" s="25" t="s">
        <v>343</v>
      </c>
    </row>
    <row r="28" spans="2:5" ht="15.75" x14ac:dyDescent="0.25">
      <c r="D28">
        <v>26</v>
      </c>
      <c r="E28" s="25" t="s">
        <v>344</v>
      </c>
    </row>
    <row r="29" spans="2:5" ht="15.75" x14ac:dyDescent="0.25">
      <c r="D29">
        <v>27</v>
      </c>
      <c r="E29" s="25" t="s">
        <v>345</v>
      </c>
    </row>
    <row r="30" spans="2:5" ht="15.75" x14ac:dyDescent="0.25">
      <c r="D30">
        <v>28</v>
      </c>
      <c r="E30" s="25" t="s">
        <v>346</v>
      </c>
    </row>
    <row r="31" spans="2:5" ht="15.75" x14ac:dyDescent="0.25">
      <c r="D31">
        <v>29</v>
      </c>
      <c r="E31" s="25" t="s">
        <v>347</v>
      </c>
    </row>
    <row r="32" spans="2:5" ht="15.75" x14ac:dyDescent="0.25">
      <c r="D32">
        <v>30</v>
      </c>
      <c r="E32" s="25" t="s">
        <v>348</v>
      </c>
    </row>
    <row r="33" spans="4:5" ht="15.75" x14ac:dyDescent="0.25">
      <c r="D33">
        <v>31</v>
      </c>
      <c r="E33" s="25" t="s">
        <v>349</v>
      </c>
    </row>
    <row r="34" spans="4:5" ht="15.75" x14ac:dyDescent="0.25">
      <c r="D34">
        <v>32</v>
      </c>
      <c r="E34" s="28" t="s">
        <v>351</v>
      </c>
    </row>
    <row r="36" spans="4:5" x14ac:dyDescent="0.25">
      <c r="E36" s="27">
        <f>32/(15+32)</f>
        <v>0.68085106382978722</v>
      </c>
    </row>
  </sheetData>
  <conditionalFormatting sqref="E3:E34">
    <cfRule type="duplicateValues" dxfId="3" priority="15"/>
    <cfRule type="containsText" dxfId="2" priority="16" operator="containsText" text="Concejo Municipal (ver cual Bloque regidores)">
      <formula>NOT(ISERROR(SEARCH("Concejo Municipal (ver cual Bloque regidores)",E3)))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D33"/>
  <sheetViews>
    <sheetView topLeftCell="A15" workbookViewId="0">
      <selection activeCell="C2" sqref="C2:C33"/>
    </sheetView>
  </sheetViews>
  <sheetFormatPr baseColWidth="10" defaultRowHeight="15" x14ac:dyDescent="0.25"/>
  <cols>
    <col min="3" max="3" width="50.28515625" bestFit="1" customWidth="1"/>
    <col min="4" max="4" width="43.5703125" customWidth="1"/>
  </cols>
  <sheetData>
    <row r="2" spans="3:4" ht="15.75" x14ac:dyDescent="0.25">
      <c r="C2" s="25" t="s">
        <v>318</v>
      </c>
      <c r="D2" s="5"/>
    </row>
    <row r="3" spans="3:4" ht="15.75" x14ac:dyDescent="0.25">
      <c r="C3" s="25" t="s">
        <v>319</v>
      </c>
      <c r="D3" s="8"/>
    </row>
    <row r="4" spans="3:4" ht="15.75" x14ac:dyDescent="0.25">
      <c r="C4" s="25" t="s">
        <v>320</v>
      </c>
      <c r="D4" s="5"/>
    </row>
    <row r="5" spans="3:4" ht="15.75" x14ac:dyDescent="0.25">
      <c r="C5" s="25" t="s">
        <v>321</v>
      </c>
      <c r="D5" s="5"/>
    </row>
    <row r="6" spans="3:4" ht="15.75" x14ac:dyDescent="0.25">
      <c r="C6" s="25" t="s">
        <v>322</v>
      </c>
      <c r="D6" s="5"/>
    </row>
    <row r="7" spans="3:4" ht="15.75" x14ac:dyDescent="0.25">
      <c r="C7" s="25" t="s">
        <v>323</v>
      </c>
      <c r="D7" s="5"/>
    </row>
    <row r="8" spans="3:4" ht="15.75" x14ac:dyDescent="0.25">
      <c r="C8" s="25" t="s">
        <v>324</v>
      </c>
      <c r="D8" s="5"/>
    </row>
    <row r="9" spans="3:4" ht="15.75" x14ac:dyDescent="0.25">
      <c r="C9" s="25" t="s">
        <v>325</v>
      </c>
      <c r="D9" s="5"/>
    </row>
    <row r="10" spans="3:4" ht="15.75" x14ac:dyDescent="0.25">
      <c r="C10" s="25" t="s">
        <v>326</v>
      </c>
      <c r="D10" s="5"/>
    </row>
    <row r="11" spans="3:4" ht="15.75" x14ac:dyDescent="0.25">
      <c r="C11" s="25" t="s">
        <v>327</v>
      </c>
      <c r="D11" s="5"/>
    </row>
    <row r="12" spans="3:4" ht="15.75" x14ac:dyDescent="0.25">
      <c r="C12" s="25" t="s">
        <v>328</v>
      </c>
      <c r="D12" s="8"/>
    </row>
    <row r="13" spans="3:4" ht="15.75" x14ac:dyDescent="0.25">
      <c r="C13" s="25" t="s">
        <v>329</v>
      </c>
      <c r="D13" s="5"/>
    </row>
    <row r="14" spans="3:4" ht="15.75" x14ac:dyDescent="0.25">
      <c r="C14" s="25" t="s">
        <v>330</v>
      </c>
      <c r="D14" s="5"/>
    </row>
    <row r="15" spans="3:4" ht="15.75" x14ac:dyDescent="0.25">
      <c r="C15" s="25" t="s">
        <v>331</v>
      </c>
    </row>
    <row r="16" spans="3:4" ht="15.75" x14ac:dyDescent="0.25">
      <c r="C16" s="25" t="s">
        <v>332</v>
      </c>
    </row>
    <row r="17" spans="3:3" ht="15.75" x14ac:dyDescent="0.25">
      <c r="C17" s="25" t="s">
        <v>333</v>
      </c>
    </row>
    <row r="18" spans="3:3" ht="15.75" x14ac:dyDescent="0.25">
      <c r="C18" s="25" t="s">
        <v>334</v>
      </c>
    </row>
    <row r="19" spans="3:3" ht="15.75" x14ac:dyDescent="0.25">
      <c r="C19" s="25" t="s">
        <v>335</v>
      </c>
    </row>
    <row r="20" spans="3:3" ht="15.75" x14ac:dyDescent="0.25">
      <c r="C20" s="25" t="s">
        <v>336</v>
      </c>
    </row>
    <row r="21" spans="3:3" ht="15.75" x14ac:dyDescent="0.25">
      <c r="C21" s="25" t="s">
        <v>337</v>
      </c>
    </row>
    <row r="22" spans="3:3" ht="15.75" x14ac:dyDescent="0.25">
      <c r="C22" s="25" t="s">
        <v>338</v>
      </c>
    </row>
    <row r="23" spans="3:3" ht="15.75" x14ac:dyDescent="0.25">
      <c r="C23" s="25" t="s">
        <v>339</v>
      </c>
    </row>
    <row r="24" spans="3:3" ht="15.75" x14ac:dyDescent="0.25">
      <c r="C24" s="25" t="s">
        <v>340</v>
      </c>
    </row>
    <row r="25" spans="3:3" ht="15.75" x14ac:dyDescent="0.25">
      <c r="C25" s="25" t="s">
        <v>341</v>
      </c>
    </row>
    <row r="26" spans="3:3" ht="15.75" x14ac:dyDescent="0.25">
      <c r="C26" s="25" t="s">
        <v>342</v>
      </c>
    </row>
    <row r="27" spans="3:3" ht="15.75" x14ac:dyDescent="0.25">
      <c r="C27" s="25" t="s">
        <v>343</v>
      </c>
    </row>
    <row r="28" spans="3:3" ht="15.75" x14ac:dyDescent="0.25">
      <c r="C28" s="25" t="s">
        <v>344</v>
      </c>
    </row>
    <row r="29" spans="3:3" ht="15.75" x14ac:dyDescent="0.25">
      <c r="C29" s="25" t="s">
        <v>345</v>
      </c>
    </row>
    <row r="30" spans="3:3" ht="15.75" x14ac:dyDescent="0.25">
      <c r="C30" s="25" t="s">
        <v>346</v>
      </c>
    </row>
    <row r="31" spans="3:3" ht="15.75" x14ac:dyDescent="0.25">
      <c r="C31" s="25" t="s">
        <v>347</v>
      </c>
    </row>
    <row r="32" spans="3:3" ht="15.75" x14ac:dyDescent="0.25">
      <c r="C32" s="25" t="s">
        <v>348</v>
      </c>
    </row>
    <row r="33" spans="3:3" ht="15.75" x14ac:dyDescent="0.25">
      <c r="C33" s="25" t="s">
        <v>349</v>
      </c>
    </row>
  </sheetData>
  <conditionalFormatting sqref="C8:C33 D8:D42 C2:D7">
    <cfRule type="duplicateValues" dxfId="1" priority="13"/>
    <cfRule type="containsText" dxfId="0" priority="14" operator="containsText" text="Concejo Municipal (ver cual Bloque regidores)">
      <formula>NOT(ISERROR(SEARCH("Concejo Municipal (ver cual Bloque regidores)",C2)))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Dir-Reportadas</vt:lpstr>
      <vt:lpstr>Pendientes </vt:lpstr>
      <vt:lpstr>Hoja3</vt:lpstr>
      <vt:lpstr>'Dir-Reportadas'!Títulos_a_imprimir</vt:lpstr>
    </vt:vector>
  </TitlesOfParts>
  <Company>ALcaldia del DIstrito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Faña Martinez</dc:creator>
  <cp:lastModifiedBy>Francisco Faña Martinez</cp:lastModifiedBy>
  <cp:lastPrinted>2025-03-11T22:25:07Z</cp:lastPrinted>
  <dcterms:created xsi:type="dcterms:W3CDTF">2025-02-19T20:00:11Z</dcterms:created>
  <dcterms:modified xsi:type="dcterms:W3CDTF">2025-08-04T15:21:45Z</dcterms:modified>
</cp:coreProperties>
</file>